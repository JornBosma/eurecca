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charts/chart1.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charts/chart6.xml" ContentType="application/vnd.openxmlformats-officedocument.drawingml.chart+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mc:AlternateContent xmlns:mc="http://schemas.openxmlformats.org/markup-compatibility/2006">
    <mc:Choice Requires="x15">
      <x15ac:absPath xmlns:x15ac="http://schemas.microsoft.com/office/spreadsheetml/2010/11/ac" url="C:\Users\sblot\Documents\Letters, faxes, literature, programs\Programs\"/>
    </mc:Choice>
  </mc:AlternateContent>
  <xr:revisionPtr revIDLastSave="0" documentId="13_ncr:1_{611639E6-A24E-4876-BB09-CD279E1A1526}" xr6:coauthVersionLast="45" xr6:coauthVersionMax="45" xr10:uidLastSave="{00000000-0000-0000-0000-000000000000}"/>
  <bookViews>
    <workbookView xWindow="1800" yWindow="195" windowWidth="14505" windowHeight="15555" tabRatio="875" activeTab="1" xr2:uid="{00000000-000D-0000-FFFF-FFFF00000000}"/>
  </bookViews>
  <sheets>
    <sheet name="Information" sheetId="4" r:id="rId1"/>
    <sheet name="Single Sample Data Input" sheetId="1" r:id="rId2"/>
    <sheet name="Single Sample Statistics" sheetId="2" r:id="rId3"/>
    <sheet name="Module1" sheetId="3" state="veryHidden" r:id=""/>
    <sheet name="Multiple Sample Data Input" sheetId="18" r:id="rId4"/>
    <sheet name="Multiple Sample Statistics" sheetId="19" r:id="rId5"/>
    <sheet name="Gravel Sand Mud Diagram" sheetId="6" r:id="rId6"/>
    <sheet name="Sand Silt Clay Diagram" sheetId="20" r:id="rId7"/>
    <sheet name="Distribution (phi)" sheetId="7" r:id="rId8"/>
    <sheet name="Cumulative (phi)" sheetId="8" r:id="rId9"/>
    <sheet name="Distribution (microns)" sheetId="9" r:id="rId10"/>
    <sheet name="Cumulative (microns)" sheetId="10" r:id="rId11"/>
    <sheet name="Calculations" sheetId="5" state="hidden" r:id="rId12"/>
    <sheet name="Module2" sheetId="11" state="veryHidden" r:id=""/>
    <sheet name="Module4" sheetId="12" state="veryHidden" r:id=""/>
    <sheet name="Module5" sheetId="13" state="veryHidden" r:id=""/>
  </sheets>
  <definedNames>
    <definedName name="OLE_LINK1" localSheetId="0">Information!$O$170</definedName>
    <definedName name="_xlnm.Print_Area" localSheetId="12">Calculations!$R$1:$Y$70</definedName>
    <definedName name="_xlnm.Print_Area" localSheetId="2">'Single Sample Statistics'!$A$1:$O$56</definedName>
    <definedName name="solver_lin" localSheetId="12" hidden="1">0</definedName>
    <definedName name="solver_num" localSheetId="12" hidden="1">0</definedName>
    <definedName name="solver_opt" localSheetId="12" hidden="1">Calculations!#REF!</definedName>
    <definedName name="solver_tmp" localSheetId="12" hidden="1">#NULL!</definedName>
    <definedName name="solver_typ" localSheetId="12" hidden="1">3</definedName>
    <definedName name="solver_val" localSheetId="12" hidden="1">84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5" l="1"/>
  <c r="G3" i="5"/>
  <c r="H3" i="5"/>
  <c r="A10" i="5"/>
  <c r="F31" i="5" s="1"/>
  <c r="G11" i="5"/>
  <c r="A13" i="5"/>
  <c r="O32" i="5" s="1"/>
  <c r="C30" i="5"/>
  <c r="H30" i="5"/>
  <c r="B31" i="5"/>
  <c r="C31" i="5"/>
  <c r="H31" i="5"/>
  <c r="B32" i="5"/>
  <c r="C32" i="5"/>
  <c r="D33" i="5" s="1"/>
  <c r="F32" i="5"/>
  <c r="Q32" i="5" s="1"/>
  <c r="H32" i="5"/>
  <c r="B33" i="5"/>
  <c r="Q33" i="5" s="1"/>
  <c r="C33" i="5"/>
  <c r="D34" i="5" s="1"/>
  <c r="F33" i="5"/>
  <c r="H33" i="5"/>
  <c r="B34" i="5"/>
  <c r="Q34" i="5" s="1"/>
  <c r="C34" i="5"/>
  <c r="F34" i="5"/>
  <c r="H34" i="5"/>
  <c r="B35" i="5"/>
  <c r="Q35" i="5" s="1"/>
  <c r="C35" i="5"/>
  <c r="F35" i="5"/>
  <c r="H35" i="5"/>
  <c r="O35" i="5"/>
  <c r="B36" i="5"/>
  <c r="C36" i="5"/>
  <c r="F36" i="5"/>
  <c r="H36" i="5"/>
  <c r="B37" i="5"/>
  <c r="Q37" i="5" s="1"/>
  <c r="C37" i="5"/>
  <c r="F37" i="5"/>
  <c r="H37" i="5"/>
  <c r="O37" i="5"/>
  <c r="B38" i="5"/>
  <c r="C38" i="5"/>
  <c r="D38" i="5" s="1"/>
  <c r="F38" i="5"/>
  <c r="Q38" i="5" s="1"/>
  <c r="H38" i="5"/>
  <c r="O38" i="5"/>
  <c r="B39" i="5"/>
  <c r="Q39" i="5" s="1"/>
  <c r="C39" i="5"/>
  <c r="D40" i="5" s="1"/>
  <c r="F39" i="5"/>
  <c r="H39" i="5"/>
  <c r="B40" i="5"/>
  <c r="C40" i="5"/>
  <c r="F40" i="5"/>
  <c r="H40" i="5"/>
  <c r="O40" i="5"/>
  <c r="B41" i="5"/>
  <c r="C41" i="5"/>
  <c r="F41" i="5"/>
  <c r="H41" i="5"/>
  <c r="B42" i="5"/>
  <c r="C42" i="5"/>
  <c r="F42" i="5"/>
  <c r="H42" i="5"/>
  <c r="B43" i="5"/>
  <c r="Q43" i="5" s="1"/>
  <c r="C43" i="5"/>
  <c r="D44" i="5" s="1"/>
  <c r="F43" i="5"/>
  <c r="H43" i="5"/>
  <c r="O43" i="5"/>
  <c r="B44" i="5"/>
  <c r="Q44" i="5" s="1"/>
  <c r="C44" i="5"/>
  <c r="F44" i="5"/>
  <c r="H44" i="5"/>
  <c r="O44" i="5"/>
  <c r="B45" i="5"/>
  <c r="C45" i="5"/>
  <c r="D46" i="5" s="1"/>
  <c r="F45" i="5"/>
  <c r="Q45" i="5" s="1"/>
  <c r="H45" i="5"/>
  <c r="B46" i="5"/>
  <c r="Q46" i="5" s="1"/>
  <c r="C46" i="5"/>
  <c r="F46" i="5"/>
  <c r="H46" i="5"/>
  <c r="O46" i="5"/>
  <c r="B47" i="5"/>
  <c r="Q47" i="5" s="1"/>
  <c r="C47" i="5"/>
  <c r="F47" i="5"/>
  <c r="H47" i="5"/>
  <c r="O47" i="5"/>
  <c r="B48" i="5"/>
  <c r="Q48" i="5" s="1"/>
  <c r="C48" i="5"/>
  <c r="D49" i="5" s="1"/>
  <c r="F48" i="5"/>
  <c r="H48" i="5"/>
  <c r="B49" i="5"/>
  <c r="C49" i="5"/>
  <c r="D50" i="5" s="1"/>
  <c r="F49" i="5"/>
  <c r="H49" i="5"/>
  <c r="O49" i="5"/>
  <c r="B50" i="5"/>
  <c r="C50" i="5"/>
  <c r="F50" i="5"/>
  <c r="H50" i="5"/>
  <c r="O50" i="5"/>
  <c r="B51" i="5"/>
  <c r="C51" i="5"/>
  <c r="F51" i="5"/>
  <c r="H51" i="5"/>
  <c r="F52" i="5"/>
  <c r="H52" i="5"/>
  <c r="O52" i="5"/>
  <c r="B53" i="5"/>
  <c r="C53" i="5"/>
  <c r="F53" i="5"/>
  <c r="H53" i="5"/>
  <c r="B54" i="5"/>
  <c r="C54" i="5" s="1"/>
  <c r="F54" i="5"/>
  <c r="Q54" i="5" s="1"/>
  <c r="H54" i="5"/>
  <c r="B55" i="5"/>
  <c r="C55" i="5" s="1"/>
  <c r="F55" i="5"/>
  <c r="H55" i="5"/>
  <c r="B56" i="5"/>
  <c r="C56" i="5" s="1"/>
  <c r="F56" i="5"/>
  <c r="H56" i="5"/>
  <c r="O56" i="5"/>
  <c r="B57" i="5"/>
  <c r="C57" i="5" s="1"/>
  <c r="F57" i="5"/>
  <c r="H57" i="5"/>
  <c r="O57" i="5"/>
  <c r="B58" i="5"/>
  <c r="C58" i="5" s="1"/>
  <c r="F58" i="5"/>
  <c r="Q58" i="5" s="1"/>
  <c r="H58" i="5"/>
  <c r="O58" i="5"/>
  <c r="B59" i="5"/>
  <c r="F59" i="5"/>
  <c r="H59" i="5"/>
  <c r="B60" i="5"/>
  <c r="C60" i="5" s="1"/>
  <c r="F60" i="5"/>
  <c r="H60" i="5"/>
  <c r="B61" i="5"/>
  <c r="C61" i="5"/>
  <c r="F61" i="5"/>
  <c r="H61" i="5"/>
  <c r="O61" i="5"/>
  <c r="Q61" i="5"/>
  <c r="B62" i="5"/>
  <c r="C62" i="5" s="1"/>
  <c r="F62" i="5"/>
  <c r="H62" i="5"/>
  <c r="O62" i="5"/>
  <c r="B63" i="5"/>
  <c r="C63" i="5" s="1"/>
  <c r="F63" i="5"/>
  <c r="H63" i="5"/>
  <c r="O63" i="5"/>
  <c r="B64" i="5"/>
  <c r="C64" i="5" s="1"/>
  <c r="F64" i="5"/>
  <c r="Q64" i="5" s="1"/>
  <c r="H64" i="5"/>
  <c r="O64" i="5"/>
  <c r="B65" i="5"/>
  <c r="C65" i="5" s="1"/>
  <c r="D66" i="5" s="1"/>
  <c r="M66" i="5" s="1"/>
  <c r="F65" i="5"/>
  <c r="H65" i="5"/>
  <c r="B66" i="5"/>
  <c r="C66" i="5" s="1"/>
  <c r="F66" i="5"/>
  <c r="H66" i="5"/>
  <c r="O66" i="5"/>
  <c r="B67" i="5"/>
  <c r="Q67" i="5" s="1"/>
  <c r="F67" i="5"/>
  <c r="H67" i="5"/>
  <c r="O67" i="5"/>
  <c r="B68" i="5"/>
  <c r="C68" i="5" s="1"/>
  <c r="F68" i="5"/>
  <c r="H68" i="5"/>
  <c r="O68" i="5"/>
  <c r="B69" i="5"/>
  <c r="Q69" i="5" s="1"/>
  <c r="F69" i="5"/>
  <c r="H69" i="5"/>
  <c r="O69" i="5"/>
  <c r="B70" i="5"/>
  <c r="C70" i="5" s="1"/>
  <c r="F70" i="5"/>
  <c r="H70" i="5"/>
  <c r="O70" i="5"/>
  <c r="B71" i="5"/>
  <c r="C71" i="5" s="1"/>
  <c r="F71" i="5"/>
  <c r="H71" i="5"/>
  <c r="O71" i="5"/>
  <c r="B72" i="5"/>
  <c r="C72" i="5" s="1"/>
  <c r="F72" i="5"/>
  <c r="Q72" i="5" s="1"/>
  <c r="H72" i="5"/>
  <c r="O72" i="5"/>
  <c r="B73" i="5"/>
  <c r="F73" i="5"/>
  <c r="H73" i="5"/>
  <c r="B74" i="5"/>
  <c r="C74" i="5" s="1"/>
  <c r="F74" i="5"/>
  <c r="H74" i="5"/>
  <c r="B75" i="5"/>
  <c r="C75" i="5"/>
  <c r="F75" i="5"/>
  <c r="H75" i="5"/>
  <c r="O75" i="5"/>
  <c r="Q75" i="5"/>
  <c r="B76" i="5"/>
  <c r="C76" i="5" s="1"/>
  <c r="F76" i="5"/>
  <c r="H76" i="5"/>
  <c r="O76" i="5"/>
  <c r="B77" i="5"/>
  <c r="C77" i="5" s="1"/>
  <c r="F77" i="5"/>
  <c r="H77" i="5"/>
  <c r="O77" i="5"/>
  <c r="B78" i="5"/>
  <c r="C78" i="5" s="1"/>
  <c r="F78" i="5"/>
  <c r="H78" i="5"/>
  <c r="O78" i="5"/>
  <c r="B79" i="5"/>
  <c r="C79" i="5" s="1"/>
  <c r="F79" i="5"/>
  <c r="H79" i="5"/>
  <c r="B80" i="5"/>
  <c r="C80" i="5" s="1"/>
  <c r="F80" i="5"/>
  <c r="H80" i="5"/>
  <c r="O80" i="5"/>
  <c r="B81" i="5"/>
  <c r="C81" i="5" s="1"/>
  <c r="F81" i="5"/>
  <c r="H81" i="5"/>
  <c r="B82" i="5"/>
  <c r="C82" i="5" s="1"/>
  <c r="F82" i="5"/>
  <c r="H82" i="5"/>
  <c r="O82" i="5"/>
  <c r="B83" i="5"/>
  <c r="C83" i="5" s="1"/>
  <c r="D84" i="5" s="1"/>
  <c r="F83" i="5"/>
  <c r="H83" i="5"/>
  <c r="O83" i="5"/>
  <c r="Q83" i="5"/>
  <c r="B84" i="5"/>
  <c r="C84" i="5" s="1"/>
  <c r="F84" i="5"/>
  <c r="H84" i="5"/>
  <c r="O84" i="5"/>
  <c r="B85" i="5"/>
  <c r="C85" i="5" s="1"/>
  <c r="D86" i="5" s="1"/>
  <c r="F85" i="5"/>
  <c r="H85" i="5"/>
  <c r="O85" i="5"/>
  <c r="B86" i="5"/>
  <c r="C86" i="5" s="1"/>
  <c r="F86" i="5"/>
  <c r="H86" i="5"/>
  <c r="O86" i="5"/>
  <c r="B87" i="5"/>
  <c r="C87" i="5"/>
  <c r="D87" i="5" s="1"/>
  <c r="F87" i="5"/>
  <c r="H87" i="5"/>
  <c r="O87" i="5"/>
  <c r="B88" i="5"/>
  <c r="C88" i="5" s="1"/>
  <c r="F88" i="5"/>
  <c r="H88" i="5"/>
  <c r="O88" i="5"/>
  <c r="B89" i="5"/>
  <c r="C89" i="5" s="1"/>
  <c r="F89" i="5"/>
  <c r="H89" i="5"/>
  <c r="O89" i="5"/>
  <c r="B90" i="5"/>
  <c r="C90" i="5" s="1"/>
  <c r="F90" i="5"/>
  <c r="H90" i="5"/>
  <c r="O90" i="5"/>
  <c r="B91" i="5"/>
  <c r="C91" i="5"/>
  <c r="F91" i="5"/>
  <c r="Q91" i="5" s="1"/>
  <c r="H91" i="5"/>
  <c r="O91" i="5"/>
  <c r="B92" i="5"/>
  <c r="C92" i="5" s="1"/>
  <c r="F92" i="5"/>
  <c r="H92" i="5"/>
  <c r="O92" i="5"/>
  <c r="B93" i="5"/>
  <c r="C93" i="5" s="1"/>
  <c r="F93" i="5"/>
  <c r="H93" i="5"/>
  <c r="O93" i="5"/>
  <c r="B94" i="5"/>
  <c r="C94" i="5" s="1"/>
  <c r="F94" i="5"/>
  <c r="H94" i="5"/>
  <c r="O94" i="5"/>
  <c r="B95" i="5"/>
  <c r="C95" i="5" s="1"/>
  <c r="F95" i="5"/>
  <c r="H95" i="5"/>
  <c r="O95" i="5"/>
  <c r="B96" i="5"/>
  <c r="C96" i="5" s="1"/>
  <c r="F96" i="5"/>
  <c r="H96" i="5"/>
  <c r="O96" i="5"/>
  <c r="B97" i="5"/>
  <c r="C97" i="5" s="1"/>
  <c r="F97" i="5"/>
  <c r="H97" i="5"/>
  <c r="O97" i="5"/>
  <c r="B98" i="5"/>
  <c r="C98" i="5"/>
  <c r="F98" i="5"/>
  <c r="H98" i="5"/>
  <c r="O98" i="5"/>
  <c r="Q98" i="5"/>
  <c r="B99" i="5"/>
  <c r="C99" i="5" s="1"/>
  <c r="F99" i="5"/>
  <c r="H99" i="5"/>
  <c r="O99" i="5"/>
  <c r="B100" i="5"/>
  <c r="C100" i="5" s="1"/>
  <c r="F100" i="5"/>
  <c r="H100" i="5"/>
  <c r="O100" i="5"/>
  <c r="B101" i="5"/>
  <c r="C101" i="5" s="1"/>
  <c r="F101" i="5"/>
  <c r="H101" i="5"/>
  <c r="O101" i="5"/>
  <c r="B102" i="5"/>
  <c r="F102" i="5"/>
  <c r="H102" i="5"/>
  <c r="O102" i="5"/>
  <c r="B103" i="5"/>
  <c r="C103" i="5" s="1"/>
  <c r="F103" i="5"/>
  <c r="H103" i="5"/>
  <c r="O103" i="5"/>
  <c r="B104" i="5"/>
  <c r="C104" i="5" s="1"/>
  <c r="F104" i="5"/>
  <c r="Q104" i="5" s="1"/>
  <c r="H104" i="5"/>
  <c r="O104" i="5"/>
  <c r="B105" i="5"/>
  <c r="F105" i="5"/>
  <c r="H105" i="5"/>
  <c r="O105" i="5"/>
  <c r="B106" i="5"/>
  <c r="Q106" i="5" s="1"/>
  <c r="F106" i="5"/>
  <c r="H106" i="5"/>
  <c r="O106" i="5"/>
  <c r="B107" i="5"/>
  <c r="C107" i="5" s="1"/>
  <c r="D108" i="5" s="1"/>
  <c r="F107" i="5"/>
  <c r="H107" i="5"/>
  <c r="O107" i="5"/>
  <c r="B108" i="5"/>
  <c r="C108" i="5" s="1"/>
  <c r="F108" i="5"/>
  <c r="H108" i="5"/>
  <c r="O108" i="5"/>
  <c r="B109" i="5"/>
  <c r="C109" i="5" s="1"/>
  <c r="F109" i="5"/>
  <c r="H109" i="5"/>
  <c r="O109" i="5"/>
  <c r="B110" i="5"/>
  <c r="F110" i="5"/>
  <c r="H110" i="5"/>
  <c r="O110" i="5"/>
  <c r="B111" i="5"/>
  <c r="C111" i="5"/>
  <c r="D112" i="5" s="1"/>
  <c r="F111" i="5"/>
  <c r="Q111" i="5" s="1"/>
  <c r="H111" i="5"/>
  <c r="O111" i="5"/>
  <c r="B112" i="5"/>
  <c r="C112" i="5" s="1"/>
  <c r="F112" i="5"/>
  <c r="H112" i="5"/>
  <c r="O112" i="5"/>
  <c r="Q112" i="5"/>
  <c r="B113" i="5"/>
  <c r="Q113" i="5" s="1"/>
  <c r="F113" i="5"/>
  <c r="H113" i="5"/>
  <c r="O113" i="5"/>
  <c r="B114" i="5"/>
  <c r="Q114" i="5" s="1"/>
  <c r="F114" i="5"/>
  <c r="H114" i="5"/>
  <c r="O114" i="5"/>
  <c r="B115" i="5"/>
  <c r="C115" i="5"/>
  <c r="F115" i="5"/>
  <c r="H115" i="5"/>
  <c r="O115" i="5"/>
  <c r="B116" i="5"/>
  <c r="C116" i="5" s="1"/>
  <c r="F116" i="5"/>
  <c r="H116" i="5"/>
  <c r="O116" i="5"/>
  <c r="B117" i="5"/>
  <c r="C117" i="5"/>
  <c r="F117" i="5"/>
  <c r="H117" i="5"/>
  <c r="O117" i="5"/>
  <c r="Q117" i="5"/>
  <c r="B118" i="5"/>
  <c r="Q118" i="5" s="1"/>
  <c r="F118" i="5"/>
  <c r="H118" i="5"/>
  <c r="O118" i="5"/>
  <c r="B119" i="5"/>
  <c r="C119" i="5" s="1"/>
  <c r="D120" i="5" s="1"/>
  <c r="U120" i="5" s="1"/>
  <c r="V120" i="5" s="1"/>
  <c r="F119" i="5"/>
  <c r="H119" i="5"/>
  <c r="O119" i="5"/>
  <c r="B120" i="5"/>
  <c r="C120" i="5" s="1"/>
  <c r="F120" i="5"/>
  <c r="H120" i="5"/>
  <c r="O120" i="5"/>
  <c r="B121" i="5"/>
  <c r="C121" i="5"/>
  <c r="D122" i="5" s="1"/>
  <c r="F121" i="5"/>
  <c r="Q121" i="5" s="1"/>
  <c r="H121" i="5"/>
  <c r="O121" i="5"/>
  <c r="B122" i="5"/>
  <c r="C122" i="5"/>
  <c r="F122" i="5"/>
  <c r="H122" i="5"/>
  <c r="O122" i="5"/>
  <c r="B123" i="5"/>
  <c r="C123" i="5" s="1"/>
  <c r="F123" i="5"/>
  <c r="H123" i="5"/>
  <c r="O123" i="5"/>
  <c r="B124" i="5"/>
  <c r="C124" i="5" s="1"/>
  <c r="F124" i="5"/>
  <c r="H124" i="5"/>
  <c r="O124" i="5"/>
  <c r="B125" i="5"/>
  <c r="C125" i="5" s="1"/>
  <c r="F125" i="5"/>
  <c r="H125" i="5"/>
  <c r="O125" i="5"/>
  <c r="B126" i="5"/>
  <c r="Q126" i="5" s="1"/>
  <c r="F126" i="5"/>
  <c r="H126" i="5"/>
  <c r="O126" i="5"/>
  <c r="B127" i="5"/>
  <c r="F127" i="5"/>
  <c r="H127" i="5"/>
  <c r="O127" i="5"/>
  <c r="B128" i="5"/>
  <c r="C128" i="5" s="1"/>
  <c r="D129" i="5" s="1"/>
  <c r="F128" i="5"/>
  <c r="H128" i="5"/>
  <c r="O128" i="5"/>
  <c r="B129" i="5"/>
  <c r="C129" i="5"/>
  <c r="F129" i="5"/>
  <c r="Q129" i="5" s="1"/>
  <c r="H129" i="5"/>
  <c r="O129" i="5"/>
  <c r="B130" i="5"/>
  <c r="Q130" i="5" s="1"/>
  <c r="F130" i="5"/>
  <c r="H130" i="5"/>
  <c r="O130" i="5"/>
  <c r="B131" i="5"/>
  <c r="F131" i="5"/>
  <c r="H131" i="5"/>
  <c r="O131" i="5"/>
  <c r="B132" i="5"/>
  <c r="C132" i="5" s="1"/>
  <c r="F132" i="5"/>
  <c r="H132" i="5"/>
  <c r="O132" i="5"/>
  <c r="B133" i="5"/>
  <c r="C133" i="5" s="1"/>
  <c r="D133" i="5" s="1"/>
  <c r="F133" i="5"/>
  <c r="H133" i="5"/>
  <c r="O133" i="5"/>
  <c r="Q133" i="5"/>
  <c r="B134" i="5"/>
  <c r="F134" i="5"/>
  <c r="H134" i="5"/>
  <c r="O134" i="5"/>
  <c r="B135" i="5"/>
  <c r="C135" i="5" s="1"/>
  <c r="D136" i="5" s="1"/>
  <c r="F135" i="5"/>
  <c r="H135" i="5"/>
  <c r="O135" i="5"/>
  <c r="B136" i="5"/>
  <c r="C136" i="5" s="1"/>
  <c r="F136" i="5"/>
  <c r="H136" i="5"/>
  <c r="O136" i="5"/>
  <c r="B137" i="5"/>
  <c r="C137" i="5" s="1"/>
  <c r="D137" i="5" s="1"/>
  <c r="F137" i="5"/>
  <c r="Q137" i="5" s="1"/>
  <c r="H137" i="5"/>
  <c r="O137" i="5"/>
  <c r="B138" i="5"/>
  <c r="F138" i="5"/>
  <c r="H138" i="5"/>
  <c r="O138" i="5"/>
  <c r="B139" i="5"/>
  <c r="C139" i="5"/>
  <c r="D140" i="5" s="1"/>
  <c r="F139" i="5"/>
  <c r="H139" i="5"/>
  <c r="O139" i="5"/>
  <c r="B140" i="5"/>
  <c r="C140" i="5" s="1"/>
  <c r="F140" i="5"/>
  <c r="H140" i="5"/>
  <c r="O140" i="5"/>
  <c r="B141" i="5"/>
  <c r="Q141" i="5" s="1"/>
  <c r="F141" i="5"/>
  <c r="H141" i="5"/>
  <c r="O141" i="5"/>
  <c r="B142" i="5"/>
  <c r="F142" i="5"/>
  <c r="H142" i="5"/>
  <c r="O142" i="5"/>
  <c r="B143" i="5"/>
  <c r="C143" i="5" s="1"/>
  <c r="F143" i="5"/>
  <c r="H143" i="5"/>
  <c r="O143" i="5"/>
  <c r="B144" i="5"/>
  <c r="C144" i="5" s="1"/>
  <c r="F144" i="5"/>
  <c r="H144" i="5"/>
  <c r="O144" i="5"/>
  <c r="B145" i="5"/>
  <c r="Q145" i="5" s="1"/>
  <c r="F145" i="5"/>
  <c r="H145" i="5"/>
  <c r="O145" i="5"/>
  <c r="B146" i="5"/>
  <c r="C146" i="5" s="1"/>
  <c r="F146" i="5"/>
  <c r="H146" i="5"/>
  <c r="O146" i="5"/>
  <c r="Q146" i="5"/>
  <c r="B147" i="5"/>
  <c r="C147" i="5" s="1"/>
  <c r="F147" i="5"/>
  <c r="H147" i="5"/>
  <c r="O147" i="5"/>
  <c r="B148" i="5"/>
  <c r="C148" i="5" s="1"/>
  <c r="F148" i="5"/>
  <c r="H148" i="5"/>
  <c r="O148" i="5"/>
  <c r="B149" i="5"/>
  <c r="C149" i="5" s="1"/>
  <c r="F149" i="5"/>
  <c r="H149" i="5"/>
  <c r="O149" i="5"/>
  <c r="B150" i="5"/>
  <c r="C150" i="5" s="1"/>
  <c r="F150" i="5"/>
  <c r="H150" i="5"/>
  <c r="O150" i="5"/>
  <c r="Q150" i="5"/>
  <c r="B151" i="5"/>
  <c r="Q151" i="5" s="1"/>
  <c r="F151" i="5"/>
  <c r="H151" i="5"/>
  <c r="O151" i="5"/>
  <c r="B152" i="5"/>
  <c r="C152" i="5" s="1"/>
  <c r="F152" i="5"/>
  <c r="H152" i="5"/>
  <c r="O152" i="5"/>
  <c r="B153" i="5"/>
  <c r="C153" i="5" s="1"/>
  <c r="F153" i="5"/>
  <c r="H153" i="5"/>
  <c r="O153" i="5"/>
  <c r="B154" i="5"/>
  <c r="C154" i="5" s="1"/>
  <c r="F154" i="5"/>
  <c r="H154" i="5"/>
  <c r="O154" i="5"/>
  <c r="B155" i="5"/>
  <c r="C155" i="5"/>
  <c r="F155" i="5"/>
  <c r="Q155" i="5" s="1"/>
  <c r="H155" i="5"/>
  <c r="O155" i="5"/>
  <c r="B156" i="5"/>
  <c r="C156" i="5" s="1"/>
  <c r="F156" i="5"/>
  <c r="H156" i="5"/>
  <c r="O156" i="5"/>
  <c r="Q156" i="5"/>
  <c r="B157" i="5"/>
  <c r="Q157" i="5" s="1"/>
  <c r="F157" i="5"/>
  <c r="H157" i="5"/>
  <c r="O157" i="5"/>
  <c r="B158" i="5"/>
  <c r="C158" i="5" s="1"/>
  <c r="F158" i="5"/>
  <c r="H158" i="5"/>
  <c r="O158" i="5"/>
  <c r="B159" i="5"/>
  <c r="Q159" i="5" s="1"/>
  <c r="F159" i="5"/>
  <c r="H159" i="5"/>
  <c r="O159" i="5"/>
  <c r="B160" i="5"/>
  <c r="C160" i="5" s="1"/>
  <c r="F160" i="5"/>
  <c r="H160" i="5"/>
  <c r="O160" i="5"/>
  <c r="B161" i="5"/>
  <c r="Q161" i="5" s="1"/>
  <c r="F161" i="5"/>
  <c r="H161" i="5"/>
  <c r="O161" i="5"/>
  <c r="B162" i="5"/>
  <c r="C162" i="5" s="1"/>
  <c r="F162" i="5"/>
  <c r="H162" i="5"/>
  <c r="O162" i="5"/>
  <c r="B163" i="5"/>
  <c r="C163" i="5" s="1"/>
  <c r="F163" i="5"/>
  <c r="H163" i="5"/>
  <c r="O163" i="5"/>
  <c r="Q163" i="5"/>
  <c r="B164" i="5"/>
  <c r="C164" i="5" s="1"/>
  <c r="F164" i="5"/>
  <c r="H164" i="5"/>
  <c r="O164" i="5"/>
  <c r="B165" i="5"/>
  <c r="C165" i="5" s="1"/>
  <c r="F165" i="5"/>
  <c r="H165" i="5"/>
  <c r="O165" i="5"/>
  <c r="B166" i="5"/>
  <c r="C166" i="5" s="1"/>
  <c r="F166" i="5"/>
  <c r="H166" i="5"/>
  <c r="O166" i="5"/>
  <c r="B167" i="5"/>
  <c r="C167" i="5"/>
  <c r="D168" i="5" s="1"/>
  <c r="F167" i="5"/>
  <c r="H167" i="5"/>
  <c r="O167" i="5"/>
  <c r="B168" i="5"/>
  <c r="C168" i="5" s="1"/>
  <c r="F168" i="5"/>
  <c r="H168" i="5"/>
  <c r="O168" i="5"/>
  <c r="B169" i="5"/>
  <c r="Q169" i="5" s="1"/>
  <c r="F169" i="5"/>
  <c r="H169" i="5"/>
  <c r="O169" i="5"/>
  <c r="B170" i="5"/>
  <c r="C170" i="5" s="1"/>
  <c r="F170" i="5"/>
  <c r="H170" i="5"/>
  <c r="O170" i="5"/>
  <c r="B171" i="5"/>
  <c r="C171" i="5"/>
  <c r="D172" i="5" s="1"/>
  <c r="F171" i="5"/>
  <c r="Q171" i="5" s="1"/>
  <c r="H171" i="5"/>
  <c r="O171" i="5"/>
  <c r="B172" i="5"/>
  <c r="C172" i="5" s="1"/>
  <c r="F172" i="5"/>
  <c r="H172" i="5"/>
  <c r="O172" i="5"/>
  <c r="Q172" i="5"/>
  <c r="B173" i="5"/>
  <c r="Q173" i="5" s="1"/>
  <c r="F173" i="5"/>
  <c r="H173" i="5"/>
  <c r="O173" i="5"/>
  <c r="B174" i="5"/>
  <c r="C174" i="5" s="1"/>
  <c r="F174" i="5"/>
  <c r="H174" i="5"/>
  <c r="O174" i="5"/>
  <c r="B175" i="5"/>
  <c r="C175" i="5" s="1"/>
  <c r="D176" i="5" s="1"/>
  <c r="F175" i="5"/>
  <c r="H175" i="5"/>
  <c r="O175" i="5"/>
  <c r="B176" i="5"/>
  <c r="C176" i="5" s="1"/>
  <c r="F176" i="5"/>
  <c r="H176" i="5"/>
  <c r="O176" i="5"/>
  <c r="B177" i="5"/>
  <c r="C177" i="5"/>
  <c r="F177" i="5"/>
  <c r="H177" i="5"/>
  <c r="O177" i="5"/>
  <c r="B178" i="5"/>
  <c r="C178" i="5" s="1"/>
  <c r="F178" i="5"/>
  <c r="H178" i="5"/>
  <c r="O178" i="5"/>
  <c r="B179" i="5"/>
  <c r="C179" i="5" s="1"/>
  <c r="D180" i="5" s="1"/>
  <c r="F179" i="5"/>
  <c r="H179" i="5"/>
  <c r="O179" i="5"/>
  <c r="B180" i="5"/>
  <c r="C180" i="5" s="1"/>
  <c r="F180" i="5"/>
  <c r="H180" i="5"/>
  <c r="O180" i="5"/>
  <c r="B181" i="5"/>
  <c r="C181" i="5" s="1"/>
  <c r="D182" i="5" s="1"/>
  <c r="F181" i="5"/>
  <c r="H181" i="5"/>
  <c r="O181" i="5"/>
  <c r="B182" i="5"/>
  <c r="C182" i="5" s="1"/>
  <c r="F182" i="5"/>
  <c r="H182" i="5"/>
  <c r="O182" i="5"/>
  <c r="Q182" i="5"/>
  <c r="B183" i="5"/>
  <c r="C183" i="5"/>
  <c r="D184" i="5" s="1"/>
  <c r="F183" i="5"/>
  <c r="H183" i="5"/>
  <c r="O183" i="5"/>
  <c r="B184" i="5"/>
  <c r="C184" i="5" s="1"/>
  <c r="F184" i="5"/>
  <c r="Q184" i="5" s="1"/>
  <c r="H184" i="5"/>
  <c r="O184" i="5"/>
  <c r="B185" i="5"/>
  <c r="C185" i="5" s="1"/>
  <c r="F185" i="5"/>
  <c r="H185" i="5"/>
  <c r="O185" i="5"/>
  <c r="B186" i="5"/>
  <c r="C186" i="5" s="1"/>
  <c r="F186" i="5"/>
  <c r="H186" i="5"/>
  <c r="O186" i="5"/>
  <c r="B187" i="5"/>
  <c r="C187" i="5" s="1"/>
  <c r="D188" i="5" s="1"/>
  <c r="F187" i="5"/>
  <c r="H187" i="5"/>
  <c r="O187" i="5"/>
  <c r="B188" i="5"/>
  <c r="C188" i="5" s="1"/>
  <c r="F188" i="5"/>
  <c r="H188" i="5"/>
  <c r="O188" i="5"/>
  <c r="B189" i="5"/>
  <c r="F189" i="5"/>
  <c r="H189" i="5"/>
  <c r="O189" i="5"/>
  <c r="B190" i="5"/>
  <c r="F190" i="5"/>
  <c r="H190" i="5"/>
  <c r="O190" i="5"/>
  <c r="B191" i="5"/>
  <c r="C191" i="5" s="1"/>
  <c r="F191" i="5"/>
  <c r="H191" i="5"/>
  <c r="O191" i="5"/>
  <c r="B192" i="5"/>
  <c r="C192" i="5"/>
  <c r="F192" i="5"/>
  <c r="Q192" i="5" s="1"/>
  <c r="H192" i="5"/>
  <c r="O192" i="5"/>
  <c r="B193" i="5"/>
  <c r="C193" i="5" s="1"/>
  <c r="F193" i="5"/>
  <c r="H193" i="5"/>
  <c r="O193" i="5"/>
  <c r="B194" i="5"/>
  <c r="C194" i="5" s="1"/>
  <c r="F194" i="5"/>
  <c r="H194" i="5"/>
  <c r="O194" i="5"/>
  <c r="B195" i="5"/>
  <c r="C195" i="5" s="1"/>
  <c r="F195" i="5"/>
  <c r="H195" i="5"/>
  <c r="O195" i="5"/>
  <c r="B196" i="5"/>
  <c r="F196" i="5"/>
  <c r="H196" i="5"/>
  <c r="O196" i="5"/>
  <c r="B197" i="5"/>
  <c r="C197" i="5" s="1"/>
  <c r="F197" i="5"/>
  <c r="H197" i="5"/>
  <c r="O197" i="5"/>
  <c r="B198" i="5"/>
  <c r="C198" i="5"/>
  <c r="F198" i="5"/>
  <c r="H198" i="5"/>
  <c r="O198" i="5"/>
  <c r="Q198" i="5"/>
  <c r="B199" i="5"/>
  <c r="C199" i="5" s="1"/>
  <c r="F199" i="5"/>
  <c r="H199" i="5"/>
  <c r="O199" i="5"/>
  <c r="B200" i="5"/>
  <c r="Q200" i="5" s="1"/>
  <c r="F200" i="5"/>
  <c r="H200" i="5"/>
  <c r="O200" i="5"/>
  <c r="B201" i="5"/>
  <c r="C201" i="5" s="1"/>
  <c r="F201" i="5"/>
  <c r="H201" i="5"/>
  <c r="O201" i="5"/>
  <c r="Q201" i="5"/>
  <c r="B202" i="5"/>
  <c r="C202" i="5" s="1"/>
  <c r="F202" i="5"/>
  <c r="H202" i="5"/>
  <c r="O202" i="5"/>
  <c r="B203" i="5"/>
  <c r="C203" i="5" s="1"/>
  <c r="F203" i="5"/>
  <c r="H203" i="5"/>
  <c r="O203" i="5"/>
  <c r="B204" i="5"/>
  <c r="C204" i="5" s="1"/>
  <c r="F204" i="5"/>
  <c r="H204" i="5"/>
  <c r="O204" i="5"/>
  <c r="B205" i="5"/>
  <c r="C205" i="5" s="1"/>
  <c r="F205" i="5"/>
  <c r="H205" i="5"/>
  <c r="O205" i="5"/>
  <c r="Q205" i="5"/>
  <c r="B206" i="5"/>
  <c r="Q206" i="5" s="1"/>
  <c r="F206" i="5"/>
  <c r="H206" i="5"/>
  <c r="O206" i="5"/>
  <c r="B207" i="5"/>
  <c r="C207" i="5" s="1"/>
  <c r="F207" i="5"/>
  <c r="H207" i="5"/>
  <c r="O207" i="5"/>
  <c r="B208" i="5"/>
  <c r="C208" i="5" s="1"/>
  <c r="F208" i="5"/>
  <c r="H208" i="5"/>
  <c r="O208" i="5"/>
  <c r="B209" i="5"/>
  <c r="C209" i="5" s="1"/>
  <c r="F209" i="5"/>
  <c r="H209" i="5"/>
  <c r="O209" i="5"/>
  <c r="B210" i="5"/>
  <c r="C210" i="5"/>
  <c r="F210" i="5"/>
  <c r="Q210" i="5" s="1"/>
  <c r="H210" i="5"/>
  <c r="O210" i="5"/>
  <c r="B211" i="5"/>
  <c r="C211" i="5" s="1"/>
  <c r="F211" i="5"/>
  <c r="H211" i="5"/>
  <c r="O211" i="5"/>
  <c r="Q211" i="5"/>
  <c r="B212" i="5"/>
  <c r="Q212" i="5" s="1"/>
  <c r="F212" i="5"/>
  <c r="H212" i="5"/>
  <c r="O212" i="5"/>
  <c r="B213" i="5"/>
  <c r="C213" i="5" s="1"/>
  <c r="F213" i="5"/>
  <c r="H213" i="5"/>
  <c r="O213" i="5"/>
  <c r="B214" i="5"/>
  <c r="Q214" i="5" s="1"/>
  <c r="F214" i="5"/>
  <c r="H214" i="5"/>
  <c r="O214" i="5"/>
  <c r="B215" i="5"/>
  <c r="C215" i="5" s="1"/>
  <c r="F215" i="5"/>
  <c r="H215" i="5"/>
  <c r="O215" i="5"/>
  <c r="B216" i="5"/>
  <c r="Q216" i="5" s="1"/>
  <c r="F216" i="5"/>
  <c r="H216" i="5"/>
  <c r="O216" i="5"/>
  <c r="B217" i="5"/>
  <c r="C217" i="5" s="1"/>
  <c r="F217" i="5"/>
  <c r="H217" i="5"/>
  <c r="O217" i="5"/>
  <c r="B218" i="5"/>
  <c r="C218" i="5" s="1"/>
  <c r="F218" i="5"/>
  <c r="H218" i="5"/>
  <c r="O218" i="5"/>
  <c r="Q218" i="5"/>
  <c r="B219" i="5"/>
  <c r="C219" i="5" s="1"/>
  <c r="F219" i="5"/>
  <c r="H219" i="5"/>
  <c r="O219" i="5"/>
  <c r="B220" i="5"/>
  <c r="C220" i="5" s="1"/>
  <c r="F220" i="5"/>
  <c r="H220" i="5"/>
  <c r="O220" i="5"/>
  <c r="B221" i="5"/>
  <c r="C221" i="5" s="1"/>
  <c r="F221" i="5"/>
  <c r="Q221" i="5" s="1"/>
  <c r="H221" i="5"/>
  <c r="O221" i="5"/>
  <c r="B222" i="5"/>
  <c r="C222" i="5"/>
  <c r="F222" i="5"/>
  <c r="H222" i="5"/>
  <c r="O222" i="5"/>
  <c r="B223" i="5"/>
  <c r="C223" i="5" s="1"/>
  <c r="F223" i="5"/>
  <c r="H223" i="5"/>
  <c r="O223" i="5"/>
  <c r="B224" i="5"/>
  <c r="Q224" i="5" s="1"/>
  <c r="F224" i="5"/>
  <c r="H224" i="5"/>
  <c r="O224" i="5"/>
  <c r="B225" i="5"/>
  <c r="C225" i="5" s="1"/>
  <c r="F225" i="5"/>
  <c r="H225" i="5"/>
  <c r="O225" i="5"/>
  <c r="B226" i="5"/>
  <c r="C226" i="5"/>
  <c r="F226" i="5"/>
  <c r="Q226" i="5" s="1"/>
  <c r="H226" i="5"/>
  <c r="O226" i="5"/>
  <c r="B227" i="5"/>
  <c r="C227" i="5" s="1"/>
  <c r="F227" i="5"/>
  <c r="H227" i="5"/>
  <c r="O227" i="5"/>
  <c r="Q227" i="5"/>
  <c r="B228" i="5"/>
  <c r="Q228" i="5" s="1"/>
  <c r="F228" i="5"/>
  <c r="H228" i="5"/>
  <c r="O228" i="5"/>
  <c r="B229" i="5"/>
  <c r="C229" i="5" s="1"/>
  <c r="F229" i="5"/>
  <c r="H229" i="5"/>
  <c r="O229" i="5"/>
  <c r="B230" i="5"/>
  <c r="C230" i="5" s="1"/>
  <c r="F230" i="5"/>
  <c r="H230" i="5"/>
  <c r="O230" i="5"/>
  <c r="B231" i="5"/>
  <c r="C231" i="5" s="1"/>
  <c r="F231" i="5"/>
  <c r="H231" i="5"/>
  <c r="O231" i="5"/>
  <c r="B232" i="5"/>
  <c r="C232" i="5"/>
  <c r="F232" i="5"/>
  <c r="H232" i="5"/>
  <c r="O232" i="5"/>
  <c r="B233" i="5"/>
  <c r="C233" i="5" s="1"/>
  <c r="F233" i="5"/>
  <c r="H233" i="5"/>
  <c r="O233" i="5"/>
  <c r="B234" i="5"/>
  <c r="C234" i="5" s="1"/>
  <c r="F234" i="5"/>
  <c r="H234" i="5"/>
  <c r="O234" i="5"/>
  <c r="B235" i="5"/>
  <c r="C235" i="5" s="1"/>
  <c r="F235" i="5"/>
  <c r="H235" i="5"/>
  <c r="O235" i="5"/>
  <c r="B236" i="5"/>
  <c r="C236" i="5" s="1"/>
  <c r="F236" i="5"/>
  <c r="H236" i="5"/>
  <c r="O236" i="5"/>
  <c r="B237" i="5"/>
  <c r="C237" i="5" s="1"/>
  <c r="F237" i="5"/>
  <c r="H237" i="5"/>
  <c r="O237" i="5"/>
  <c r="Q237" i="5"/>
  <c r="B238" i="5"/>
  <c r="C238" i="5"/>
  <c r="F238" i="5"/>
  <c r="H238" i="5"/>
  <c r="O238" i="5"/>
  <c r="B239" i="5"/>
  <c r="C239" i="5" s="1"/>
  <c r="F239" i="5"/>
  <c r="Q239" i="5" s="1"/>
  <c r="H239" i="5"/>
  <c r="O239" i="5"/>
  <c r="B240" i="5"/>
  <c r="C240" i="5" s="1"/>
  <c r="F240" i="5"/>
  <c r="H240" i="5"/>
  <c r="O240" i="5"/>
  <c r="B241" i="5"/>
  <c r="C241" i="5" s="1"/>
  <c r="F241" i="5"/>
  <c r="H241" i="5"/>
  <c r="O241" i="5"/>
  <c r="B242" i="5"/>
  <c r="C242" i="5" s="1"/>
  <c r="F242" i="5"/>
  <c r="H242" i="5"/>
  <c r="O242" i="5"/>
  <c r="B243" i="5"/>
  <c r="C243" i="5" s="1"/>
  <c r="F243" i="5"/>
  <c r="H243" i="5"/>
  <c r="O243" i="5"/>
  <c r="B244" i="5"/>
  <c r="F244" i="5"/>
  <c r="H244" i="5"/>
  <c r="O244" i="5"/>
  <c r="B245" i="5"/>
  <c r="C245" i="5" s="1"/>
  <c r="F245" i="5"/>
  <c r="H245" i="5"/>
  <c r="O245" i="5"/>
  <c r="B246" i="5"/>
  <c r="C246" i="5"/>
  <c r="D247" i="5" s="1"/>
  <c r="F246" i="5"/>
  <c r="H246" i="5"/>
  <c r="O246" i="5"/>
  <c r="Q246" i="5"/>
  <c r="B247" i="5"/>
  <c r="C247" i="5" s="1"/>
  <c r="F247" i="5"/>
  <c r="H247" i="5"/>
  <c r="O247" i="5"/>
  <c r="B248" i="5"/>
  <c r="C248" i="5" s="1"/>
  <c r="F248" i="5"/>
  <c r="H248" i="5"/>
  <c r="O248" i="5"/>
  <c r="B249" i="5"/>
  <c r="C249" i="5" s="1"/>
  <c r="F249" i="5"/>
  <c r="Q249" i="5" s="1"/>
  <c r="H249" i="5"/>
  <c r="O249" i="5"/>
  <c r="B250" i="5"/>
  <c r="C250" i="5" s="1"/>
  <c r="F250" i="5"/>
  <c r="H250" i="5"/>
  <c r="O250" i="5"/>
  <c r="M38" i="5" l="1"/>
  <c r="I38" i="5"/>
  <c r="M133" i="5"/>
  <c r="I133" i="5"/>
  <c r="Q238" i="5"/>
  <c r="C214" i="5"/>
  <c r="Q208" i="5"/>
  <c r="Q207" i="5"/>
  <c r="Q190" i="5"/>
  <c r="Q183" i="5"/>
  <c r="C159" i="5"/>
  <c r="Q153" i="5"/>
  <c r="Q152" i="5"/>
  <c r="C126" i="5"/>
  <c r="Q122" i="5"/>
  <c r="Q102" i="5"/>
  <c r="Q78" i="5"/>
  <c r="O73" i="5"/>
  <c r="Q70" i="5"/>
  <c r="O59" i="5"/>
  <c r="O54" i="5"/>
  <c r="Q53" i="5"/>
  <c r="Q51" i="5"/>
  <c r="Q49" i="5"/>
  <c r="O41" i="5"/>
  <c r="D37" i="5"/>
  <c r="Q248" i="5"/>
  <c r="Q230" i="5"/>
  <c r="C224" i="5"/>
  <c r="C200" i="5"/>
  <c r="Q175" i="5"/>
  <c r="C169" i="5"/>
  <c r="D170" i="5" s="1"/>
  <c r="M170" i="5" s="1"/>
  <c r="C145" i="5"/>
  <c r="C114" i="5"/>
  <c r="Q109" i="5"/>
  <c r="Q101" i="5"/>
  <c r="Q100" i="5"/>
  <c r="D85" i="5"/>
  <c r="Q77" i="5"/>
  <c r="Q63" i="5"/>
  <c r="D57" i="5"/>
  <c r="Q40" i="5"/>
  <c r="Q36" i="5"/>
  <c r="Q55" i="5"/>
  <c r="Q244" i="5"/>
  <c r="Q233" i="5"/>
  <c r="Q222" i="5"/>
  <c r="Q178" i="5"/>
  <c r="D178" i="5"/>
  <c r="Q167" i="5"/>
  <c r="Q127" i="5"/>
  <c r="D116" i="5"/>
  <c r="Q105" i="5"/>
  <c r="D90" i="5"/>
  <c r="O81" i="5"/>
  <c r="Q79" i="5"/>
  <c r="Q73" i="5"/>
  <c r="Q71" i="5"/>
  <c r="Q65" i="5"/>
  <c r="Q59" i="5"/>
  <c r="Q57" i="5"/>
  <c r="O55" i="5"/>
  <c r="Q50" i="5"/>
  <c r="O48" i="5"/>
  <c r="O42" i="5"/>
  <c r="D42" i="5"/>
  <c r="O39" i="5"/>
  <c r="O33" i="5"/>
  <c r="D91" i="5"/>
  <c r="Q250" i="5"/>
  <c r="Q242" i="5"/>
  <c r="Q243" i="5"/>
  <c r="Q232" i="5"/>
  <c r="Q202" i="5"/>
  <c r="Q196" i="5"/>
  <c r="Q194" i="5"/>
  <c r="D192" i="5"/>
  <c r="Q189" i="5"/>
  <c r="Q177" i="5"/>
  <c r="Q166" i="5"/>
  <c r="Q147" i="5"/>
  <c r="D121" i="5"/>
  <c r="Q115" i="5"/>
  <c r="Q110" i="5"/>
  <c r="D104" i="5"/>
  <c r="Q87" i="5"/>
  <c r="O79" i="5"/>
  <c r="O74" i="5"/>
  <c r="O65" i="5"/>
  <c r="O60" i="5"/>
  <c r="O53" i="5"/>
  <c r="O51" i="5"/>
  <c r="O45" i="5"/>
  <c r="Q41" i="5"/>
  <c r="Q240" i="5"/>
  <c r="Q223" i="5"/>
  <c r="C206" i="5"/>
  <c r="Q195" i="5"/>
  <c r="Q168" i="5"/>
  <c r="C151" i="5"/>
  <c r="C130" i="5"/>
  <c r="D130" i="5" s="1"/>
  <c r="Q119" i="5"/>
  <c r="Q95" i="5"/>
  <c r="C67" i="5"/>
  <c r="Q42" i="5"/>
  <c r="D32" i="5"/>
  <c r="Q185" i="5"/>
  <c r="Q234" i="5"/>
  <c r="Q217" i="5"/>
  <c r="C216" i="5"/>
  <c r="D216" i="5" s="1"/>
  <c r="Q179" i="5"/>
  <c r="Q162" i="5"/>
  <c r="C161" i="5"/>
  <c r="Q116" i="5"/>
  <c r="Q107" i="5"/>
  <c r="C106" i="5"/>
  <c r="D100" i="5"/>
  <c r="D82" i="5"/>
  <c r="I82" i="5" s="1"/>
  <c r="I46" i="5"/>
  <c r="M46" i="5"/>
  <c r="M50" i="5"/>
  <c r="I50" i="5"/>
  <c r="M140" i="5"/>
  <c r="U140" i="5"/>
  <c r="V140" i="5" s="1"/>
  <c r="D118" i="5"/>
  <c r="U118" i="5" s="1"/>
  <c r="M90" i="5"/>
  <c r="U90" i="5"/>
  <c r="V90" i="5" s="1"/>
  <c r="M188" i="5"/>
  <c r="U188" i="5"/>
  <c r="V188" i="5" s="1"/>
  <c r="M137" i="5"/>
  <c r="I137" i="5"/>
  <c r="M136" i="5"/>
  <c r="U136" i="5"/>
  <c r="V136" i="5" s="1"/>
  <c r="M121" i="5"/>
  <c r="I121" i="5"/>
  <c r="M86" i="5"/>
  <c r="U86" i="5"/>
  <c r="M42" i="5"/>
  <c r="I42" i="5"/>
  <c r="U82" i="5"/>
  <c r="V82" i="5" s="1"/>
  <c r="I34" i="5"/>
  <c r="M34" i="5"/>
  <c r="D125" i="5"/>
  <c r="Q241" i="5"/>
  <c r="Q186" i="5"/>
  <c r="Q99" i="5"/>
  <c r="D65" i="5"/>
  <c r="M65" i="5" s="1"/>
  <c r="Q56" i="5"/>
  <c r="Q180" i="5"/>
  <c r="Q245" i="5"/>
  <c r="Q229" i="5"/>
  <c r="Q213" i="5"/>
  <c r="Q197" i="5"/>
  <c r="Q174" i="5"/>
  <c r="Q158" i="5"/>
  <c r="Q131" i="5"/>
  <c r="Q103" i="5"/>
  <c r="D96" i="5"/>
  <c r="I86" i="5"/>
  <c r="Q74" i="5"/>
  <c r="Q60" i="5"/>
  <c r="B52" i="5"/>
  <c r="D48" i="5"/>
  <c r="U48" i="5" s="1"/>
  <c r="D41" i="5"/>
  <c r="I41" i="5" s="1"/>
  <c r="D36" i="5"/>
  <c r="U36" i="5" s="1"/>
  <c r="D81" i="5"/>
  <c r="Q225" i="5"/>
  <c r="Q193" i="5"/>
  <c r="Q170" i="5"/>
  <c r="D124" i="5"/>
  <c r="I124" i="5" s="1"/>
  <c r="D248" i="5"/>
  <c r="U248" i="5" s="1"/>
  <c r="C244" i="5"/>
  <c r="D244" i="5" s="1"/>
  <c r="Q236" i="5"/>
  <c r="C228" i="5"/>
  <c r="Q220" i="5"/>
  <c r="C212" i="5"/>
  <c r="D212" i="5" s="1"/>
  <c r="Q204" i="5"/>
  <c r="C196" i="5"/>
  <c r="D197" i="5" s="1"/>
  <c r="Q191" i="5"/>
  <c r="C189" i="5"/>
  <c r="D189" i="5" s="1"/>
  <c r="Q181" i="5"/>
  <c r="C173" i="5"/>
  <c r="D174" i="5" s="1"/>
  <c r="Q165" i="5"/>
  <c r="C157" i="5"/>
  <c r="Q149" i="5"/>
  <c r="C141" i="5"/>
  <c r="D141" i="5" s="1"/>
  <c r="C127" i="5"/>
  <c r="D128" i="5" s="1"/>
  <c r="U128" i="5" s="1"/>
  <c r="V128" i="5" s="1"/>
  <c r="Q125" i="5"/>
  <c r="C118" i="5"/>
  <c r="D119" i="5" s="1"/>
  <c r="C113" i="5"/>
  <c r="D114" i="5" s="1"/>
  <c r="D109" i="5"/>
  <c r="U109" i="5" s="1"/>
  <c r="C105" i="5"/>
  <c r="D105" i="5" s="1"/>
  <c r="C102" i="5"/>
  <c r="D103" i="5" s="1"/>
  <c r="Q97" i="5"/>
  <c r="Q94" i="5"/>
  <c r="Q81" i="5"/>
  <c r="D77" i="5"/>
  <c r="I77" i="5" s="1"/>
  <c r="C73" i="5"/>
  <c r="C69" i="5"/>
  <c r="D70" i="5" s="1"/>
  <c r="C59" i="5"/>
  <c r="D60" i="5" s="1"/>
  <c r="I60" i="5" s="1"/>
  <c r="D115" i="5"/>
  <c r="I115" i="5" s="1"/>
  <c r="D97" i="5"/>
  <c r="U97" i="5" s="1"/>
  <c r="D75" i="5"/>
  <c r="U75" i="5" s="1"/>
  <c r="D71" i="5"/>
  <c r="M71" i="5" s="1"/>
  <c r="D61" i="5"/>
  <c r="M61" i="5" s="1"/>
  <c r="Q247" i="5"/>
  <c r="Q231" i="5"/>
  <c r="Q215" i="5"/>
  <c r="Q199" i="5"/>
  <c r="Q176" i="5"/>
  <c r="Q160" i="5"/>
  <c r="Q144" i="5"/>
  <c r="D117" i="5"/>
  <c r="U117" i="5" s="1"/>
  <c r="C110" i="5"/>
  <c r="D111" i="5" s="1"/>
  <c r="Q108" i="5"/>
  <c r="D101" i="5"/>
  <c r="M101" i="5" s="1"/>
  <c r="D89" i="5"/>
  <c r="I89" i="5" s="1"/>
  <c r="Q86" i="5"/>
  <c r="Q76" i="5"/>
  <c r="Q66" i="5"/>
  <c r="Q62" i="5"/>
  <c r="D45" i="5"/>
  <c r="M45" i="5" s="1"/>
  <c r="I122" i="5"/>
  <c r="Q209" i="5"/>
  <c r="Q154" i="5"/>
  <c r="Q235" i="5"/>
  <c r="Q219" i="5"/>
  <c r="Q203" i="5"/>
  <c r="D186" i="5"/>
  <c r="Q164" i="5"/>
  <c r="Q148" i="5"/>
  <c r="Q128" i="5"/>
  <c r="Q120" i="5"/>
  <c r="D113" i="5"/>
  <c r="U113" i="5" s="1"/>
  <c r="Q96" i="5"/>
  <c r="D93" i="5"/>
  <c r="I93" i="5" s="1"/>
  <c r="Q90" i="5"/>
  <c r="Q80" i="5"/>
  <c r="D73" i="5"/>
  <c r="D246" i="5"/>
  <c r="D245" i="5"/>
  <c r="D238" i="5"/>
  <c r="D237" i="5"/>
  <c r="D230" i="5"/>
  <c r="D229" i="5"/>
  <c r="D243" i="5"/>
  <c r="D236" i="5"/>
  <c r="D235" i="5"/>
  <c r="D228" i="5"/>
  <c r="D227" i="5"/>
  <c r="D219" i="5"/>
  <c r="D220" i="5"/>
  <c r="D211" i="5"/>
  <c r="D203" i="5"/>
  <c r="D204" i="5"/>
  <c r="D195" i="5"/>
  <c r="M186" i="5"/>
  <c r="U186" i="5"/>
  <c r="I186" i="5"/>
  <c r="M178" i="5"/>
  <c r="U178" i="5"/>
  <c r="I178" i="5"/>
  <c r="D226" i="5"/>
  <c r="D225" i="5"/>
  <c r="D218" i="5"/>
  <c r="D217" i="5"/>
  <c r="D210" i="5"/>
  <c r="D209" i="5"/>
  <c r="D202" i="5"/>
  <c r="D201" i="5"/>
  <c r="D194" i="5"/>
  <c r="D193" i="5"/>
  <c r="I184" i="5"/>
  <c r="M184" i="5"/>
  <c r="U184" i="5"/>
  <c r="I176" i="5"/>
  <c r="M176" i="5"/>
  <c r="U176" i="5"/>
  <c r="I168" i="5"/>
  <c r="M168" i="5"/>
  <c r="U168" i="5"/>
  <c r="D250" i="5"/>
  <c r="D249" i="5"/>
  <c r="U247" i="5"/>
  <c r="I247" i="5"/>
  <c r="M247" i="5"/>
  <c r="D242" i="5"/>
  <c r="D241" i="5"/>
  <c r="D234" i="5"/>
  <c r="D233" i="5"/>
  <c r="D240" i="5"/>
  <c r="D239" i="5"/>
  <c r="D231" i="5"/>
  <c r="D232" i="5"/>
  <c r="D223" i="5"/>
  <c r="D224" i="5"/>
  <c r="D215" i="5"/>
  <c r="D207" i="5"/>
  <c r="D208" i="5"/>
  <c r="D199" i="5"/>
  <c r="D200" i="5"/>
  <c r="U192" i="5"/>
  <c r="I192" i="5"/>
  <c r="M192" i="5"/>
  <c r="M182" i="5"/>
  <c r="U182" i="5"/>
  <c r="I182" i="5"/>
  <c r="M174" i="5"/>
  <c r="U174" i="5"/>
  <c r="I174" i="5"/>
  <c r="D222" i="5"/>
  <c r="D221" i="5"/>
  <c r="D214" i="5"/>
  <c r="D213" i="5"/>
  <c r="D206" i="5"/>
  <c r="D205" i="5"/>
  <c r="D198" i="5"/>
  <c r="I180" i="5"/>
  <c r="M180" i="5"/>
  <c r="U180" i="5"/>
  <c r="I172" i="5"/>
  <c r="M172" i="5"/>
  <c r="U172" i="5"/>
  <c r="D165" i="5"/>
  <c r="D164" i="5"/>
  <c r="D157" i="5"/>
  <c r="D156" i="5"/>
  <c r="D149" i="5"/>
  <c r="D148" i="5"/>
  <c r="U129" i="5"/>
  <c r="M129" i="5"/>
  <c r="I129" i="5"/>
  <c r="Q188" i="5"/>
  <c r="U189" i="5"/>
  <c r="D162" i="5"/>
  <c r="D163" i="5"/>
  <c r="D154" i="5"/>
  <c r="D155" i="5"/>
  <c r="D146" i="5"/>
  <c r="D147" i="5"/>
  <c r="U125" i="5"/>
  <c r="I125" i="5"/>
  <c r="M125" i="5"/>
  <c r="D187" i="5"/>
  <c r="D183" i="5"/>
  <c r="D179" i="5"/>
  <c r="D175" i="5"/>
  <c r="D171" i="5"/>
  <c r="D161" i="5"/>
  <c r="D160" i="5"/>
  <c r="D153" i="5"/>
  <c r="D152" i="5"/>
  <c r="D145" i="5"/>
  <c r="D144" i="5"/>
  <c r="C190" i="5"/>
  <c r="D166" i="5"/>
  <c r="D167" i="5"/>
  <c r="D158" i="5"/>
  <c r="D159" i="5"/>
  <c r="D150" i="5"/>
  <c r="D151" i="5"/>
  <c r="I188" i="5"/>
  <c r="Q187" i="5"/>
  <c r="D185" i="5"/>
  <c r="D181" i="5"/>
  <c r="D177" i="5"/>
  <c r="D173" i="5"/>
  <c r="U115" i="5"/>
  <c r="M93" i="5"/>
  <c r="U93" i="5"/>
  <c r="I85" i="5"/>
  <c r="M85" i="5"/>
  <c r="U85" i="5"/>
  <c r="C142" i="5"/>
  <c r="C138" i="5"/>
  <c r="C134" i="5"/>
  <c r="C131" i="5"/>
  <c r="D132" i="5" s="1"/>
  <c r="Q124" i="5"/>
  <c r="Q123" i="5"/>
  <c r="D123" i="5"/>
  <c r="D107" i="5"/>
  <c r="D99" i="5"/>
  <c r="U122" i="5"/>
  <c r="I120" i="5"/>
  <c r="M120" i="5"/>
  <c r="U116" i="5"/>
  <c r="I116" i="5"/>
  <c r="M116" i="5"/>
  <c r="U108" i="5"/>
  <c r="I108" i="5"/>
  <c r="M108" i="5"/>
  <c r="U100" i="5"/>
  <c r="I100" i="5"/>
  <c r="M100" i="5"/>
  <c r="U87" i="5"/>
  <c r="I87" i="5"/>
  <c r="M87" i="5"/>
  <c r="Q142" i="5"/>
  <c r="I140" i="5"/>
  <c r="Q139" i="5"/>
  <c r="Q138" i="5"/>
  <c r="I136" i="5"/>
  <c r="Q135" i="5"/>
  <c r="Q134" i="5"/>
  <c r="U121" i="5"/>
  <c r="M117" i="5"/>
  <c r="I111" i="5"/>
  <c r="M111" i="5"/>
  <c r="U111" i="5"/>
  <c r="I109" i="5"/>
  <c r="M109" i="5"/>
  <c r="U101" i="5"/>
  <c r="I101" i="5"/>
  <c r="M89" i="5"/>
  <c r="Q143" i="5"/>
  <c r="Q140" i="5"/>
  <c r="Q136" i="5"/>
  <c r="Q132" i="5"/>
  <c r="D126" i="5"/>
  <c r="M122" i="5"/>
  <c r="D95" i="5"/>
  <c r="U137" i="5"/>
  <c r="U133" i="5"/>
  <c r="U112" i="5"/>
  <c r="I112" i="5"/>
  <c r="M112" i="5"/>
  <c r="U104" i="5"/>
  <c r="I104" i="5"/>
  <c r="M104" i="5"/>
  <c r="U96" i="5"/>
  <c r="I96" i="5"/>
  <c r="M96" i="5"/>
  <c r="U91" i="5"/>
  <c r="I91" i="5"/>
  <c r="M91" i="5"/>
  <c r="I84" i="5"/>
  <c r="U84" i="5"/>
  <c r="M84" i="5"/>
  <c r="U71" i="5"/>
  <c r="I71" i="5"/>
  <c r="U66" i="5"/>
  <c r="D58" i="5"/>
  <c r="U44" i="5"/>
  <c r="I44" i="5"/>
  <c r="M44" i="5"/>
  <c r="I33" i="5"/>
  <c r="M33" i="5"/>
  <c r="U33" i="5"/>
  <c r="U114" i="5"/>
  <c r="Q93" i="5"/>
  <c r="Q92" i="5"/>
  <c r="D92" i="5"/>
  <c r="I90" i="5"/>
  <c r="Q89" i="5"/>
  <c r="Q88" i="5"/>
  <c r="D88" i="5"/>
  <c r="V86" i="5"/>
  <c r="Q85" i="5"/>
  <c r="Q84" i="5"/>
  <c r="D76" i="5"/>
  <c r="D64" i="5"/>
  <c r="D56" i="5"/>
  <c r="I81" i="5"/>
  <c r="M81" i="5"/>
  <c r="U81" i="5"/>
  <c r="U70" i="5"/>
  <c r="I65" i="5"/>
  <c r="I57" i="5"/>
  <c r="M57" i="5"/>
  <c r="U57" i="5"/>
  <c r="I49" i="5"/>
  <c r="M49" i="5"/>
  <c r="U49" i="5"/>
  <c r="U40" i="5"/>
  <c r="I40" i="5"/>
  <c r="M40" i="5"/>
  <c r="I37" i="5"/>
  <c r="M37" i="5"/>
  <c r="U37" i="5"/>
  <c r="U32" i="5"/>
  <c r="I32" i="5"/>
  <c r="M32" i="5"/>
  <c r="D80" i="5"/>
  <c r="D62" i="5"/>
  <c r="D63" i="5"/>
  <c r="U60" i="5"/>
  <c r="M60" i="5"/>
  <c r="D54" i="5"/>
  <c r="D55" i="5"/>
  <c r="I45" i="5"/>
  <c r="U45" i="5"/>
  <c r="D106" i="5"/>
  <c r="D102" i="5"/>
  <c r="D98" i="5"/>
  <c r="D94" i="5"/>
  <c r="D79" i="5"/>
  <c r="D74" i="5"/>
  <c r="D68" i="5"/>
  <c r="I73" i="5"/>
  <c r="M73" i="5"/>
  <c r="U73" i="5"/>
  <c r="I61" i="5"/>
  <c r="M41" i="5"/>
  <c r="U41" i="5"/>
  <c r="Q31" i="5"/>
  <c r="Q82" i="5"/>
  <c r="D83" i="5"/>
  <c r="D78" i="5"/>
  <c r="D72" i="5"/>
  <c r="Q68" i="5"/>
  <c r="I66" i="5"/>
  <c r="D67" i="5"/>
  <c r="D51" i="5"/>
  <c r="D47" i="5"/>
  <c r="D43" i="5"/>
  <c r="D39" i="5"/>
  <c r="D35" i="5"/>
  <c r="O34" i="5"/>
  <c r="D31" i="5"/>
  <c r="F30" i="5"/>
  <c r="U50" i="5"/>
  <c r="U46" i="5"/>
  <c r="U42" i="5"/>
  <c r="U38" i="5"/>
  <c r="U34" i="5"/>
  <c r="O31" i="5"/>
  <c r="O36" i="5"/>
  <c r="I130" i="5" l="1"/>
  <c r="M130" i="5"/>
  <c r="U130" i="5"/>
  <c r="I128" i="5"/>
  <c r="M82" i="5"/>
  <c r="D127" i="5"/>
  <c r="M48" i="5"/>
  <c r="I75" i="5"/>
  <c r="M75" i="5"/>
  <c r="I48" i="5"/>
  <c r="M248" i="5"/>
  <c r="M128" i="5"/>
  <c r="D169" i="5"/>
  <c r="I248" i="5"/>
  <c r="D110" i="5"/>
  <c r="U110" i="5" s="1"/>
  <c r="M105" i="5"/>
  <c r="U105" i="5"/>
  <c r="I105" i="5"/>
  <c r="M141" i="5"/>
  <c r="I141" i="5"/>
  <c r="I118" i="5"/>
  <c r="M118" i="5"/>
  <c r="I117" i="5"/>
  <c r="U77" i="5"/>
  <c r="V77" i="5" s="1"/>
  <c r="I170" i="5"/>
  <c r="C52" i="5"/>
  <c r="Q52" i="5"/>
  <c r="U141" i="5"/>
  <c r="V141" i="5" s="1"/>
  <c r="U124" i="5"/>
  <c r="M36" i="5"/>
  <c r="M113" i="5"/>
  <c r="M124" i="5"/>
  <c r="I36" i="5"/>
  <c r="U65" i="5"/>
  <c r="M77" i="5"/>
  <c r="I113" i="5"/>
  <c r="U170" i="5"/>
  <c r="D196" i="5"/>
  <c r="I70" i="5"/>
  <c r="M70" i="5"/>
  <c r="D59" i="5"/>
  <c r="U89" i="5"/>
  <c r="M97" i="5"/>
  <c r="I114" i="5"/>
  <c r="M114" i="5"/>
  <c r="I97" i="5"/>
  <c r="I110" i="5"/>
  <c r="M110" i="5"/>
  <c r="U61" i="5"/>
  <c r="M115" i="5"/>
  <c r="M189" i="5"/>
  <c r="I189" i="5"/>
  <c r="D131" i="5"/>
  <c r="D69" i="5"/>
  <c r="V42" i="5"/>
  <c r="V46" i="5"/>
  <c r="V38" i="5"/>
  <c r="E30" i="5"/>
  <c r="E31" i="5" s="1"/>
  <c r="E32" i="5" s="1"/>
  <c r="E33" i="5" s="1"/>
  <c r="E34" i="5" s="1"/>
  <c r="E35" i="5" s="1"/>
  <c r="E36" i="5" s="1"/>
  <c r="E37" i="5" s="1"/>
  <c r="E38" i="5" s="1"/>
  <c r="E39" i="5" s="1"/>
  <c r="E40" i="5" s="1"/>
  <c r="E41" i="5" s="1"/>
  <c r="E42" i="5" s="1"/>
  <c r="E43" i="5" s="1"/>
  <c r="E44" i="5" s="1"/>
  <c r="E45" i="5" s="1"/>
  <c r="E46" i="5" s="1"/>
  <c r="E47" i="5" s="1"/>
  <c r="E48" i="5" s="1"/>
  <c r="E49" i="5" s="1"/>
  <c r="E50" i="5" s="1"/>
  <c r="E51" i="5" s="1"/>
  <c r="E52" i="5" s="1"/>
  <c r="E53" i="5" s="1"/>
  <c r="E54" i="5" s="1"/>
  <c r="E55" i="5" s="1"/>
  <c r="E56" i="5" s="1"/>
  <c r="E57" i="5" s="1"/>
  <c r="E58" i="5" s="1"/>
  <c r="E59" i="5" s="1"/>
  <c r="E60" i="5" s="1"/>
  <c r="E61" i="5" s="1"/>
  <c r="E62" i="5" s="1"/>
  <c r="E63" i="5" s="1"/>
  <c r="E64" i="5" s="1"/>
  <c r="E65" i="5" s="1"/>
  <c r="E66" i="5" s="1"/>
  <c r="E67" i="5" s="1"/>
  <c r="E68" i="5" s="1"/>
  <c r="E69" i="5" s="1"/>
  <c r="E70" i="5" s="1"/>
  <c r="E71" i="5" s="1"/>
  <c r="E72" i="5" s="1"/>
  <c r="E73" i="5" s="1"/>
  <c r="E74" i="5" s="1"/>
  <c r="E75" i="5" s="1"/>
  <c r="E76" i="5" s="1"/>
  <c r="E77" i="5" s="1"/>
  <c r="E78" i="5" s="1"/>
  <c r="E79" i="5" s="1"/>
  <c r="E80" i="5" s="1"/>
  <c r="E81" i="5" s="1"/>
  <c r="E82" i="5" s="1"/>
  <c r="E83" i="5" s="1"/>
  <c r="E84" i="5" s="1"/>
  <c r="E85" i="5" s="1"/>
  <c r="E86" i="5" s="1"/>
  <c r="E87" i="5" s="1"/>
  <c r="E88" i="5" s="1"/>
  <c r="E89" i="5" s="1"/>
  <c r="E90" i="5" s="1"/>
  <c r="E91" i="5" s="1"/>
  <c r="E92" i="5" s="1"/>
  <c r="E93" i="5" s="1"/>
  <c r="E94" i="5" s="1"/>
  <c r="E95" i="5" s="1"/>
  <c r="E96" i="5" s="1"/>
  <c r="E97" i="5" s="1"/>
  <c r="E98" i="5" s="1"/>
  <c r="E99" i="5" s="1"/>
  <c r="E100" i="5" s="1"/>
  <c r="E101" i="5" s="1"/>
  <c r="E102" i="5" s="1"/>
  <c r="E103" i="5" s="1"/>
  <c r="E104" i="5" s="1"/>
  <c r="E105" i="5" s="1"/>
  <c r="E106" i="5" s="1"/>
  <c r="E107" i="5" s="1"/>
  <c r="E108" i="5" s="1"/>
  <c r="E109" i="5" s="1"/>
  <c r="E110" i="5" s="1"/>
  <c r="E111" i="5" s="1"/>
  <c r="E112" i="5" s="1"/>
  <c r="E113" i="5" s="1"/>
  <c r="E114" i="5" s="1"/>
  <c r="E115" i="5" s="1"/>
  <c r="E116" i="5" s="1"/>
  <c r="E117" i="5" s="1"/>
  <c r="E118" i="5" s="1"/>
  <c r="E119" i="5" s="1"/>
  <c r="E120" i="5" s="1"/>
  <c r="E121" i="5" s="1"/>
  <c r="E122" i="5" s="1"/>
  <c r="E123" i="5" s="1"/>
  <c r="E124" i="5" s="1"/>
  <c r="E125" i="5" s="1"/>
  <c r="E126" i="5" s="1"/>
  <c r="E127" i="5" s="1"/>
  <c r="E128" i="5" s="1"/>
  <c r="E129" i="5" s="1"/>
  <c r="E130" i="5" s="1"/>
  <c r="E131" i="5" s="1"/>
  <c r="E132" i="5" s="1"/>
  <c r="E133" i="5" s="1"/>
  <c r="E134" i="5" s="1"/>
  <c r="E135" i="5" s="1"/>
  <c r="E136" i="5" s="1"/>
  <c r="E137" i="5" s="1"/>
  <c r="E138" i="5" s="1"/>
  <c r="E139" i="5" s="1"/>
  <c r="E140" i="5" s="1"/>
  <c r="E141" i="5" s="1"/>
  <c r="E142" i="5" s="1"/>
  <c r="E143" i="5" s="1"/>
  <c r="E144" i="5" s="1"/>
  <c r="E145" i="5" s="1"/>
  <c r="E146" i="5" s="1"/>
  <c r="E147" i="5" s="1"/>
  <c r="E148" i="5" s="1"/>
  <c r="E149" i="5" s="1"/>
  <c r="E150" i="5" s="1"/>
  <c r="E151" i="5" s="1"/>
  <c r="E152" i="5" s="1"/>
  <c r="E153" i="5" s="1"/>
  <c r="E154" i="5" s="1"/>
  <c r="E155" i="5" s="1"/>
  <c r="E156" i="5" s="1"/>
  <c r="E157" i="5" s="1"/>
  <c r="E158" i="5" s="1"/>
  <c r="E159" i="5" s="1"/>
  <c r="E160" i="5" s="1"/>
  <c r="E161" i="5" s="1"/>
  <c r="E162" i="5" s="1"/>
  <c r="E163" i="5" s="1"/>
  <c r="E164" i="5" s="1"/>
  <c r="E165" i="5" s="1"/>
  <c r="E166" i="5" s="1"/>
  <c r="E167" i="5" s="1"/>
  <c r="E168" i="5" s="1"/>
  <c r="E169" i="5" s="1"/>
  <c r="E170" i="5" s="1"/>
  <c r="E171" i="5" s="1"/>
  <c r="E172" i="5" s="1"/>
  <c r="E173" i="5" s="1"/>
  <c r="E174" i="5" s="1"/>
  <c r="E175" i="5" s="1"/>
  <c r="E176" i="5" s="1"/>
  <c r="E177" i="5" s="1"/>
  <c r="E178" i="5" s="1"/>
  <c r="E179" i="5" s="1"/>
  <c r="E180" i="5" s="1"/>
  <c r="E181" i="5" s="1"/>
  <c r="E182" i="5" s="1"/>
  <c r="E183" i="5" s="1"/>
  <c r="E184" i="5" s="1"/>
  <c r="E185" i="5" s="1"/>
  <c r="E186" i="5" s="1"/>
  <c r="E187" i="5" s="1"/>
  <c r="E188" i="5" s="1"/>
  <c r="E189" i="5" s="1"/>
  <c r="E190" i="5" s="1"/>
  <c r="E191" i="5" s="1"/>
  <c r="E192" i="5" s="1"/>
  <c r="E193" i="5" s="1"/>
  <c r="E194" i="5" s="1"/>
  <c r="E195" i="5" s="1"/>
  <c r="E196" i="5" s="1"/>
  <c r="E197" i="5" s="1"/>
  <c r="E198" i="5" s="1"/>
  <c r="E199" i="5" s="1"/>
  <c r="E200" i="5" s="1"/>
  <c r="E201" i="5" s="1"/>
  <c r="E202" i="5" s="1"/>
  <c r="E203" i="5" s="1"/>
  <c r="E204" i="5" s="1"/>
  <c r="E205" i="5" s="1"/>
  <c r="E206" i="5" s="1"/>
  <c r="E207" i="5" s="1"/>
  <c r="E208" i="5" s="1"/>
  <c r="E209" i="5" s="1"/>
  <c r="E210" i="5" s="1"/>
  <c r="E211" i="5" s="1"/>
  <c r="E212" i="5" s="1"/>
  <c r="E213" i="5" s="1"/>
  <c r="E214" i="5" s="1"/>
  <c r="E215" i="5" s="1"/>
  <c r="E216" i="5" s="1"/>
  <c r="E217" i="5" s="1"/>
  <c r="E218" i="5" s="1"/>
  <c r="E219" i="5" s="1"/>
  <c r="E220" i="5" s="1"/>
  <c r="E221" i="5" s="1"/>
  <c r="E222" i="5" s="1"/>
  <c r="E223" i="5" s="1"/>
  <c r="E224" i="5" s="1"/>
  <c r="E225" i="5" s="1"/>
  <c r="E226" i="5" s="1"/>
  <c r="E227" i="5" s="1"/>
  <c r="E228" i="5" s="1"/>
  <c r="E229" i="5" s="1"/>
  <c r="E230" i="5" s="1"/>
  <c r="E231" i="5" s="1"/>
  <c r="E232" i="5" s="1"/>
  <c r="E233" i="5" s="1"/>
  <c r="E234" i="5" s="1"/>
  <c r="E235" i="5" s="1"/>
  <c r="E236" i="5" s="1"/>
  <c r="E237" i="5" s="1"/>
  <c r="E238" i="5" s="1"/>
  <c r="E239" i="5" s="1"/>
  <c r="E240" i="5" s="1"/>
  <c r="E241" i="5" s="1"/>
  <c r="E242" i="5" s="1"/>
  <c r="E243" i="5" s="1"/>
  <c r="E244" i="5" s="1"/>
  <c r="E245" i="5" s="1"/>
  <c r="E246" i="5" s="1"/>
  <c r="E247" i="5" s="1"/>
  <c r="E248" i="5" s="1"/>
  <c r="E249" i="5" s="1"/>
  <c r="E250" i="5" s="1"/>
  <c r="I30" i="5"/>
  <c r="Q30" i="5"/>
  <c r="V30" i="5"/>
  <c r="U35" i="5"/>
  <c r="I35" i="5"/>
  <c r="M35" i="5"/>
  <c r="D3" i="5"/>
  <c r="E9" i="5"/>
  <c r="V34" i="5"/>
  <c r="V50" i="5"/>
  <c r="U31" i="5"/>
  <c r="I31" i="5"/>
  <c r="M31" i="5"/>
  <c r="U39" i="5"/>
  <c r="I39" i="5"/>
  <c r="M39" i="5"/>
  <c r="U78" i="5"/>
  <c r="M78" i="5"/>
  <c r="I78" i="5"/>
  <c r="V36" i="5"/>
  <c r="V73" i="5"/>
  <c r="I54" i="5"/>
  <c r="M54" i="5"/>
  <c r="U54" i="5"/>
  <c r="I80" i="5"/>
  <c r="M80" i="5"/>
  <c r="U80" i="5"/>
  <c r="V32" i="5"/>
  <c r="V49" i="5"/>
  <c r="V65" i="5"/>
  <c r="V81" i="5"/>
  <c r="I64" i="5"/>
  <c r="M64" i="5"/>
  <c r="U64" i="5"/>
  <c r="I92" i="5"/>
  <c r="U92" i="5"/>
  <c r="M92" i="5"/>
  <c r="V110" i="5"/>
  <c r="V114" i="5"/>
  <c r="V118" i="5"/>
  <c r="I58" i="5"/>
  <c r="M58" i="5"/>
  <c r="U58" i="5"/>
  <c r="V96" i="5"/>
  <c r="I95" i="5"/>
  <c r="M95" i="5"/>
  <c r="U95" i="5"/>
  <c r="V101" i="5"/>
  <c r="V111" i="5"/>
  <c r="V87" i="5"/>
  <c r="V85" i="5"/>
  <c r="V97" i="5"/>
  <c r="V113" i="5"/>
  <c r="I177" i="5"/>
  <c r="M177" i="5"/>
  <c r="U177" i="5"/>
  <c r="U151" i="5"/>
  <c r="I151" i="5"/>
  <c r="M151" i="5"/>
  <c r="U167" i="5"/>
  <c r="I167" i="5"/>
  <c r="M167" i="5"/>
  <c r="I153" i="5"/>
  <c r="M153" i="5"/>
  <c r="U153" i="5"/>
  <c r="I146" i="5"/>
  <c r="M146" i="5"/>
  <c r="U146" i="5"/>
  <c r="I162" i="5"/>
  <c r="M162" i="5"/>
  <c r="U162" i="5"/>
  <c r="I149" i="5"/>
  <c r="M149" i="5"/>
  <c r="U149" i="5"/>
  <c r="I165" i="5"/>
  <c r="M165" i="5"/>
  <c r="U165" i="5"/>
  <c r="U197" i="5"/>
  <c r="I197" i="5"/>
  <c r="M197" i="5"/>
  <c r="U213" i="5"/>
  <c r="I213" i="5"/>
  <c r="M213" i="5"/>
  <c r="U208" i="5"/>
  <c r="I208" i="5"/>
  <c r="M208" i="5"/>
  <c r="U224" i="5"/>
  <c r="I224" i="5"/>
  <c r="M224" i="5"/>
  <c r="I239" i="5"/>
  <c r="U239" i="5"/>
  <c r="M239" i="5"/>
  <c r="I233" i="5"/>
  <c r="M233" i="5"/>
  <c r="U233" i="5"/>
  <c r="I250" i="5"/>
  <c r="M250" i="5"/>
  <c r="U250" i="5"/>
  <c r="U193" i="5"/>
  <c r="I193" i="5"/>
  <c r="M193" i="5"/>
  <c r="U209" i="5"/>
  <c r="I209" i="5"/>
  <c r="M209" i="5"/>
  <c r="U225" i="5"/>
  <c r="M225" i="5"/>
  <c r="I225" i="5"/>
  <c r="V178" i="5"/>
  <c r="I203" i="5"/>
  <c r="M203" i="5"/>
  <c r="U203" i="5"/>
  <c r="I219" i="5"/>
  <c r="M219" i="5"/>
  <c r="U219" i="5"/>
  <c r="U236" i="5"/>
  <c r="I236" i="5"/>
  <c r="M236" i="5"/>
  <c r="I230" i="5"/>
  <c r="M230" i="5"/>
  <c r="U230" i="5"/>
  <c r="I246" i="5"/>
  <c r="M246" i="5"/>
  <c r="U246" i="5"/>
  <c r="U43" i="5"/>
  <c r="I43" i="5"/>
  <c r="M43" i="5"/>
  <c r="I98" i="5"/>
  <c r="M98" i="5"/>
  <c r="U98" i="5"/>
  <c r="I106" i="5"/>
  <c r="M106" i="5"/>
  <c r="U106" i="5"/>
  <c r="U55" i="5"/>
  <c r="I55" i="5"/>
  <c r="M55" i="5"/>
  <c r="V60" i="5"/>
  <c r="I76" i="5"/>
  <c r="M76" i="5"/>
  <c r="U76" i="5"/>
  <c r="I88" i="5"/>
  <c r="U88" i="5"/>
  <c r="M88" i="5"/>
  <c r="U59" i="5"/>
  <c r="I59" i="5"/>
  <c r="M59" i="5"/>
  <c r="V91" i="5"/>
  <c r="V130" i="5"/>
  <c r="V133" i="5"/>
  <c r="U126" i="5"/>
  <c r="M126" i="5"/>
  <c r="I126" i="5"/>
  <c r="I107" i="5"/>
  <c r="M107" i="5"/>
  <c r="U107" i="5"/>
  <c r="I173" i="5"/>
  <c r="M173" i="5"/>
  <c r="U173" i="5"/>
  <c r="I158" i="5"/>
  <c r="M158" i="5"/>
  <c r="U158" i="5"/>
  <c r="U152" i="5"/>
  <c r="I152" i="5"/>
  <c r="M152" i="5"/>
  <c r="U171" i="5"/>
  <c r="I171" i="5"/>
  <c r="M171" i="5"/>
  <c r="U179" i="5"/>
  <c r="I179" i="5"/>
  <c r="M179" i="5"/>
  <c r="I187" i="5"/>
  <c r="M187" i="5"/>
  <c r="U187" i="5"/>
  <c r="U147" i="5"/>
  <c r="I147" i="5"/>
  <c r="M147" i="5"/>
  <c r="U163" i="5"/>
  <c r="I163" i="5"/>
  <c r="M163" i="5"/>
  <c r="V189" i="5"/>
  <c r="U148" i="5"/>
  <c r="I148" i="5"/>
  <c r="M148" i="5"/>
  <c r="U164" i="5"/>
  <c r="I164" i="5"/>
  <c r="M164" i="5"/>
  <c r="I206" i="5"/>
  <c r="M206" i="5"/>
  <c r="U206" i="5"/>
  <c r="I222" i="5"/>
  <c r="M222" i="5"/>
  <c r="U222" i="5"/>
  <c r="V174" i="5"/>
  <c r="V192" i="5"/>
  <c r="I199" i="5"/>
  <c r="M199" i="5"/>
  <c r="U199" i="5"/>
  <c r="I215" i="5"/>
  <c r="M215" i="5"/>
  <c r="U215" i="5"/>
  <c r="U231" i="5"/>
  <c r="I231" i="5"/>
  <c r="M231" i="5"/>
  <c r="I242" i="5"/>
  <c r="M242" i="5"/>
  <c r="U242" i="5"/>
  <c r="U249" i="5"/>
  <c r="I249" i="5"/>
  <c r="M249" i="5"/>
  <c r="V168" i="5"/>
  <c r="I202" i="5"/>
  <c r="M202" i="5"/>
  <c r="U202" i="5"/>
  <c r="I218" i="5"/>
  <c r="M218" i="5"/>
  <c r="U218" i="5"/>
  <c r="V186" i="5"/>
  <c r="U204" i="5"/>
  <c r="I204" i="5"/>
  <c r="M204" i="5"/>
  <c r="U220" i="5"/>
  <c r="I220" i="5"/>
  <c r="M220" i="5"/>
  <c r="I235" i="5"/>
  <c r="U235" i="5"/>
  <c r="M235" i="5"/>
  <c r="U229" i="5"/>
  <c r="M229" i="5"/>
  <c r="I229" i="5"/>
  <c r="U245" i="5"/>
  <c r="M245" i="5"/>
  <c r="I245" i="5"/>
  <c r="U47" i="5"/>
  <c r="I47" i="5"/>
  <c r="M47" i="5"/>
  <c r="U67" i="5"/>
  <c r="I67" i="5"/>
  <c r="M67" i="5"/>
  <c r="I72" i="5"/>
  <c r="M72" i="5"/>
  <c r="U72" i="5"/>
  <c r="V41" i="5"/>
  <c r="V48" i="5"/>
  <c r="V61" i="5"/>
  <c r="I68" i="5"/>
  <c r="M68" i="5"/>
  <c r="U68" i="5"/>
  <c r="U79" i="5"/>
  <c r="I79" i="5"/>
  <c r="M79" i="5"/>
  <c r="I62" i="5"/>
  <c r="M62" i="5"/>
  <c r="U62" i="5"/>
  <c r="V37" i="5"/>
  <c r="V40" i="5"/>
  <c r="V57" i="5"/>
  <c r="V75" i="5"/>
  <c r="V71" i="5"/>
  <c r="I103" i="5"/>
  <c r="M103" i="5"/>
  <c r="U103" i="5"/>
  <c r="I119" i="5"/>
  <c r="M119" i="5"/>
  <c r="U119" i="5"/>
  <c r="V109" i="5"/>
  <c r="V121" i="5"/>
  <c r="V108" i="5"/>
  <c r="V116" i="5"/>
  <c r="V122" i="5"/>
  <c r="V105" i="5"/>
  <c r="V115" i="5"/>
  <c r="I169" i="5"/>
  <c r="M169" i="5"/>
  <c r="U169" i="5"/>
  <c r="I185" i="5"/>
  <c r="M185" i="5"/>
  <c r="U185" i="5"/>
  <c r="U159" i="5"/>
  <c r="I159" i="5"/>
  <c r="M159" i="5"/>
  <c r="I145" i="5"/>
  <c r="M145" i="5"/>
  <c r="U145" i="5"/>
  <c r="I161" i="5"/>
  <c r="M161" i="5"/>
  <c r="U161" i="5"/>
  <c r="V124" i="5"/>
  <c r="I154" i="5"/>
  <c r="M154" i="5"/>
  <c r="U154" i="5"/>
  <c r="I157" i="5"/>
  <c r="M157" i="5"/>
  <c r="U157" i="5"/>
  <c r="V172" i="5"/>
  <c r="U205" i="5"/>
  <c r="I205" i="5"/>
  <c r="M205" i="5"/>
  <c r="U221" i="5"/>
  <c r="I221" i="5"/>
  <c r="M221" i="5"/>
  <c r="V182" i="5"/>
  <c r="U200" i="5"/>
  <c r="I200" i="5"/>
  <c r="M200" i="5"/>
  <c r="U216" i="5"/>
  <c r="I216" i="5"/>
  <c r="M216" i="5"/>
  <c r="U232" i="5"/>
  <c r="I232" i="5"/>
  <c r="M232" i="5"/>
  <c r="V248" i="5"/>
  <c r="M241" i="5"/>
  <c r="I241" i="5"/>
  <c r="U241" i="5"/>
  <c r="V247" i="5"/>
  <c r="V176" i="5"/>
  <c r="U201" i="5"/>
  <c r="I201" i="5"/>
  <c r="M201" i="5"/>
  <c r="U217" i="5"/>
  <c r="I217" i="5"/>
  <c r="M217" i="5"/>
  <c r="I195" i="5"/>
  <c r="M195" i="5"/>
  <c r="U195" i="5"/>
  <c r="I211" i="5"/>
  <c r="M211" i="5"/>
  <c r="U211" i="5"/>
  <c r="U228" i="5"/>
  <c r="I228" i="5"/>
  <c r="M228" i="5"/>
  <c r="U243" i="5"/>
  <c r="I243" i="5"/>
  <c r="M243" i="5"/>
  <c r="I238" i="5"/>
  <c r="M238" i="5"/>
  <c r="U238" i="5"/>
  <c r="U51" i="5"/>
  <c r="I51" i="5"/>
  <c r="M51" i="5"/>
  <c r="U83" i="5"/>
  <c r="I83" i="5"/>
  <c r="M83" i="5"/>
  <c r="U74" i="5"/>
  <c r="M74" i="5"/>
  <c r="I74" i="5"/>
  <c r="I94" i="5"/>
  <c r="M94" i="5"/>
  <c r="U94" i="5"/>
  <c r="I102" i="5"/>
  <c r="M102" i="5"/>
  <c r="U102" i="5"/>
  <c r="V45" i="5"/>
  <c r="U63" i="5"/>
  <c r="I63" i="5"/>
  <c r="M63" i="5"/>
  <c r="V70" i="5"/>
  <c r="U56" i="5"/>
  <c r="I56" i="5"/>
  <c r="M56" i="5"/>
  <c r="V33" i="5"/>
  <c r="V44" i="5"/>
  <c r="V66" i="5"/>
  <c r="V84" i="5"/>
  <c r="V104" i="5"/>
  <c r="V112" i="5"/>
  <c r="V137" i="5"/>
  <c r="I131" i="5"/>
  <c r="M131" i="5"/>
  <c r="U131" i="5"/>
  <c r="V89" i="5"/>
  <c r="V117" i="5"/>
  <c r="V100" i="5"/>
  <c r="I99" i="5"/>
  <c r="M99" i="5"/>
  <c r="U99" i="5"/>
  <c r="I123" i="5"/>
  <c r="M123" i="5"/>
  <c r="U123" i="5"/>
  <c r="I132" i="5"/>
  <c r="U132" i="5"/>
  <c r="M132" i="5"/>
  <c r="D135" i="5"/>
  <c r="D134" i="5"/>
  <c r="D139" i="5"/>
  <c r="D138" i="5"/>
  <c r="D143" i="5"/>
  <c r="D142" i="5"/>
  <c r="V93" i="5"/>
  <c r="I181" i="5"/>
  <c r="M181" i="5"/>
  <c r="U181" i="5"/>
  <c r="I150" i="5"/>
  <c r="M150" i="5"/>
  <c r="U150" i="5"/>
  <c r="I166" i="5"/>
  <c r="M166" i="5"/>
  <c r="U166" i="5"/>
  <c r="D191" i="5"/>
  <c r="D190" i="5"/>
  <c r="U144" i="5"/>
  <c r="I144" i="5"/>
  <c r="M144" i="5"/>
  <c r="U160" i="5"/>
  <c r="I160" i="5"/>
  <c r="M160" i="5"/>
  <c r="U175" i="5"/>
  <c r="I175" i="5"/>
  <c r="M175" i="5"/>
  <c r="U183" i="5"/>
  <c r="I183" i="5"/>
  <c r="M183" i="5"/>
  <c r="V125" i="5"/>
  <c r="U155" i="5"/>
  <c r="I155" i="5"/>
  <c r="M155" i="5"/>
  <c r="V129" i="5"/>
  <c r="U156" i="5"/>
  <c r="I156" i="5"/>
  <c r="M156" i="5"/>
  <c r="V180" i="5"/>
  <c r="I198" i="5"/>
  <c r="M198" i="5"/>
  <c r="U198" i="5"/>
  <c r="I214" i="5"/>
  <c r="M214" i="5"/>
  <c r="U214" i="5"/>
  <c r="I207" i="5"/>
  <c r="M207" i="5"/>
  <c r="U207" i="5"/>
  <c r="I223" i="5"/>
  <c r="M223" i="5"/>
  <c r="U223" i="5"/>
  <c r="U240" i="5"/>
  <c r="I240" i="5"/>
  <c r="M240" i="5"/>
  <c r="I234" i="5"/>
  <c r="M234" i="5"/>
  <c r="U234" i="5"/>
  <c r="V184" i="5"/>
  <c r="I194" i="5"/>
  <c r="M194" i="5"/>
  <c r="U194" i="5"/>
  <c r="I210" i="5"/>
  <c r="M210" i="5"/>
  <c r="U210" i="5"/>
  <c r="I226" i="5"/>
  <c r="M226" i="5"/>
  <c r="U226" i="5"/>
  <c r="V170" i="5"/>
  <c r="U196" i="5"/>
  <c r="I196" i="5"/>
  <c r="M196" i="5"/>
  <c r="U212" i="5"/>
  <c r="I212" i="5"/>
  <c r="M212" i="5"/>
  <c r="I227" i="5"/>
  <c r="U227" i="5"/>
  <c r="M227" i="5"/>
  <c r="U244" i="5"/>
  <c r="I244" i="5"/>
  <c r="M244" i="5"/>
  <c r="U237" i="5"/>
  <c r="I237" i="5"/>
  <c r="M237" i="5"/>
  <c r="U127" i="5" l="1"/>
  <c r="V127" i="5" s="1"/>
  <c r="I127" i="5"/>
  <c r="M127" i="5"/>
  <c r="B15" i="5"/>
  <c r="T30" i="5" s="1"/>
  <c r="I69" i="5"/>
  <c r="M69" i="5"/>
  <c r="U69" i="5"/>
  <c r="V69" i="5" s="1"/>
  <c r="D53" i="5"/>
  <c r="D52" i="5"/>
  <c r="V223" i="5"/>
  <c r="I190" i="5"/>
  <c r="U190" i="5"/>
  <c r="M190" i="5"/>
  <c r="V56" i="5"/>
  <c r="V102" i="5"/>
  <c r="V181" i="5"/>
  <c r="I143" i="5"/>
  <c r="U143" i="5"/>
  <c r="M143" i="5"/>
  <c r="I135" i="5"/>
  <c r="M135" i="5"/>
  <c r="U135" i="5"/>
  <c r="V51" i="5"/>
  <c r="V243" i="5"/>
  <c r="V228" i="5"/>
  <c r="V216" i="5"/>
  <c r="V159" i="5"/>
  <c r="V47" i="5"/>
  <c r="V235" i="5"/>
  <c r="V218" i="5"/>
  <c r="V249" i="5"/>
  <c r="V163" i="5"/>
  <c r="V55" i="5"/>
  <c r="V98" i="5"/>
  <c r="V43" i="5"/>
  <c r="V230" i="5"/>
  <c r="V219" i="5"/>
  <c r="V203" i="5"/>
  <c r="V225" i="5"/>
  <c r="V209" i="5"/>
  <c r="V193" i="5"/>
  <c r="V233" i="5"/>
  <c r="V208" i="5"/>
  <c r="V95" i="5"/>
  <c r="V54" i="5"/>
  <c r="R35" i="5"/>
  <c r="T41" i="5"/>
  <c r="S46" i="5"/>
  <c r="R51" i="5"/>
  <c r="T57" i="5"/>
  <c r="S62" i="5"/>
  <c r="R37" i="5"/>
  <c r="R45" i="5"/>
  <c r="R53" i="5"/>
  <c r="R61" i="5"/>
  <c r="R69" i="5"/>
  <c r="R77" i="5"/>
  <c r="S39" i="5"/>
  <c r="S55" i="5"/>
  <c r="S71" i="5"/>
  <c r="S66" i="5"/>
  <c r="R75" i="5"/>
  <c r="S86" i="5"/>
  <c r="T91" i="5"/>
  <c r="R95" i="5"/>
  <c r="T101" i="5"/>
  <c r="S106" i="5"/>
  <c r="R111" i="5"/>
  <c r="T117" i="5"/>
  <c r="T81" i="5"/>
  <c r="S87" i="5"/>
  <c r="R92" i="5"/>
  <c r="S97" i="5"/>
  <c r="R102" i="5"/>
  <c r="T108" i="5"/>
  <c r="R114" i="5"/>
  <c r="S70" i="5"/>
  <c r="R97" i="5"/>
  <c r="R113" i="5"/>
  <c r="R129" i="5"/>
  <c r="R131" i="5"/>
  <c r="T135" i="5"/>
  <c r="T139" i="5"/>
  <c r="R143" i="5"/>
  <c r="T149" i="5"/>
  <c r="R155" i="5"/>
  <c r="R163" i="5"/>
  <c r="R126" i="5"/>
  <c r="S133" i="5"/>
  <c r="S149" i="5"/>
  <c r="S165" i="5"/>
  <c r="S181" i="5"/>
  <c r="T124" i="5"/>
  <c r="R137" i="5"/>
  <c r="T147" i="5"/>
  <c r="S152" i="5"/>
  <c r="R157" i="5"/>
  <c r="T163" i="5"/>
  <c r="S125" i="5"/>
  <c r="R175" i="5"/>
  <c r="R192" i="5"/>
  <c r="R200" i="5"/>
  <c r="R208" i="5"/>
  <c r="R216" i="5"/>
  <c r="R224" i="5"/>
  <c r="R232" i="5"/>
  <c r="R248" i="5"/>
  <c r="T181" i="5"/>
  <c r="R234" i="5"/>
  <c r="R246" i="5"/>
  <c r="R173" i="5"/>
  <c r="T187" i="5"/>
  <c r="T192" i="5"/>
  <c r="S193" i="5"/>
  <c r="S197" i="5"/>
  <c r="R202" i="5"/>
  <c r="T204" i="5"/>
  <c r="T208" i="5"/>
  <c r="S213" i="5"/>
  <c r="R214" i="5"/>
  <c r="T216" i="5"/>
  <c r="S217" i="5"/>
  <c r="R218" i="5"/>
  <c r="T224" i="5"/>
  <c r="S225" i="5"/>
  <c r="R226" i="5"/>
  <c r="T228" i="5"/>
  <c r="R230" i="5"/>
  <c r="T236" i="5"/>
  <c r="S241" i="5"/>
  <c r="T244" i="5"/>
  <c r="S245" i="5"/>
  <c r="S249" i="5"/>
  <c r="T167" i="5"/>
  <c r="T175" i="5"/>
  <c r="T183" i="5"/>
  <c r="S189" i="5"/>
  <c r="S192" i="5"/>
  <c r="S196" i="5"/>
  <c r="S200" i="5"/>
  <c r="S208" i="5"/>
  <c r="S212" i="5"/>
  <c r="S216" i="5"/>
  <c r="S220" i="5"/>
  <c r="S224" i="5"/>
  <c r="S228" i="5"/>
  <c r="S232" i="5"/>
  <c r="S240" i="5"/>
  <c r="S244" i="5"/>
  <c r="S248" i="5"/>
  <c r="S227" i="5"/>
  <c r="R228" i="5"/>
  <c r="T238" i="5"/>
  <c r="T242" i="5"/>
  <c r="R244" i="5"/>
  <c r="T246" i="5"/>
  <c r="T250" i="5"/>
  <c r="S242" i="5"/>
  <c r="S226" i="5"/>
  <c r="S210" i="5"/>
  <c r="S194" i="5"/>
  <c r="S203" i="5"/>
  <c r="S243" i="5"/>
  <c r="S215" i="5"/>
  <c r="R166" i="5"/>
  <c r="T247" i="5"/>
  <c r="T239" i="5"/>
  <c r="T231" i="5"/>
  <c r="T223" i="5"/>
  <c r="T215" i="5"/>
  <c r="T207" i="5"/>
  <c r="T199" i="5"/>
  <c r="T191" i="5"/>
  <c r="R187" i="5"/>
  <c r="S163" i="5"/>
  <c r="S147" i="5"/>
  <c r="R188" i="5"/>
  <c r="R184" i="5"/>
  <c r="R176" i="5"/>
  <c r="R168" i="5"/>
  <c r="R247" i="5"/>
  <c r="T245" i="5"/>
  <c r="R239" i="5"/>
  <c r="T237" i="5"/>
  <c r="R231" i="5"/>
  <c r="T225" i="5"/>
  <c r="R219" i="5"/>
  <c r="T217" i="5"/>
  <c r="R211" i="5"/>
  <c r="T209" i="5"/>
  <c r="R203" i="5"/>
  <c r="T201" i="5"/>
  <c r="R195" i="5"/>
  <c r="T193" i="5"/>
  <c r="S186" i="5"/>
  <c r="S178" i="5"/>
  <c r="S170" i="5"/>
  <c r="S162" i="5"/>
  <c r="T182" i="5"/>
  <c r="T174" i="5"/>
  <c r="R134" i="5"/>
  <c r="R160" i="5"/>
  <c r="T158" i="5"/>
  <c r="R144" i="5"/>
  <c r="S111" i="5"/>
  <c r="T142" i="5"/>
  <c r="T138" i="5"/>
  <c r="T134" i="5"/>
  <c r="T164" i="5"/>
  <c r="R154" i="5"/>
  <c r="R139" i="5"/>
  <c r="S115" i="5"/>
  <c r="S99" i="5"/>
  <c r="R140" i="5"/>
  <c r="R132" i="5"/>
  <c r="T72" i="5"/>
  <c r="S116" i="5"/>
  <c r="S112" i="5"/>
  <c r="R82" i="5"/>
  <c r="T76" i="5"/>
  <c r="T112" i="5"/>
  <c r="S89" i="5"/>
  <c r="S85" i="5"/>
  <c r="T80" i="5"/>
  <c r="S61" i="5"/>
  <c r="S33" i="5"/>
  <c r="T68" i="5"/>
  <c r="T130" i="5"/>
  <c r="R112" i="5"/>
  <c r="T106" i="5"/>
  <c r="R96" i="5"/>
  <c r="R56" i="5"/>
  <c r="R44" i="5"/>
  <c r="T42" i="5"/>
  <c r="S239" i="5"/>
  <c r="S211" i="5"/>
  <c r="S219" i="5"/>
  <c r="S238" i="5"/>
  <c r="S222" i="5"/>
  <c r="S206" i="5"/>
  <c r="S191" i="5"/>
  <c r="T166" i="5"/>
  <c r="R245" i="5"/>
  <c r="R237" i="5"/>
  <c r="R229" i="5"/>
  <c r="R221" i="5"/>
  <c r="R213" i="5"/>
  <c r="R205" i="5"/>
  <c r="R197" i="5"/>
  <c r="R190" i="5"/>
  <c r="S184" i="5"/>
  <c r="S176" i="5"/>
  <c r="S168" i="5"/>
  <c r="T180" i="5"/>
  <c r="T172" i="5"/>
  <c r="S183" i="5"/>
  <c r="S175" i="5"/>
  <c r="S167" i="5"/>
  <c r="R142" i="5"/>
  <c r="T229" i="5"/>
  <c r="T188" i="5"/>
  <c r="S151" i="5"/>
  <c r="R186" i="5"/>
  <c r="R178" i="5"/>
  <c r="R170" i="5"/>
  <c r="S128" i="5"/>
  <c r="R156" i="5"/>
  <c r="T154" i="5"/>
  <c r="S143" i="5"/>
  <c r="T140" i="5"/>
  <c r="T136" i="5"/>
  <c r="T132" i="5"/>
  <c r="S103" i="5"/>
  <c r="S131" i="5"/>
  <c r="T131" i="5"/>
  <c r="S120" i="5"/>
  <c r="R158" i="5"/>
  <c r="T152" i="5"/>
  <c r="T148" i="5"/>
  <c r="T144" i="5"/>
  <c r="S135" i="5"/>
  <c r="S124" i="5"/>
  <c r="S108" i="5"/>
  <c r="T103" i="5"/>
  <c r="S100" i="5"/>
  <c r="T95" i="5"/>
  <c r="S81" i="5"/>
  <c r="S65" i="5"/>
  <c r="S57" i="5"/>
  <c r="T82" i="5"/>
  <c r="R90" i="5"/>
  <c r="R86" i="5"/>
  <c r="S64" i="5"/>
  <c r="S88" i="5"/>
  <c r="T31" i="5"/>
  <c r="T126" i="5"/>
  <c r="R116" i="5"/>
  <c r="T110" i="5"/>
  <c r="R100" i="5"/>
  <c r="T94" i="5"/>
  <c r="T90" i="5"/>
  <c r="T78" i="5"/>
  <c r="T74" i="5"/>
  <c r="T70" i="5"/>
  <c r="T66" i="5"/>
  <c r="T62" i="5"/>
  <c r="T54" i="5"/>
  <c r="S247" i="5"/>
  <c r="S250" i="5"/>
  <c r="S234" i="5"/>
  <c r="S218" i="5"/>
  <c r="S202" i="5"/>
  <c r="S199" i="5"/>
  <c r="T243" i="5"/>
  <c r="T235" i="5"/>
  <c r="T227" i="5"/>
  <c r="T219" i="5"/>
  <c r="T211" i="5"/>
  <c r="T203" i="5"/>
  <c r="T195" i="5"/>
  <c r="S155" i="5"/>
  <c r="R180" i="5"/>
  <c r="R172" i="5"/>
  <c r="T249" i="5"/>
  <c r="R243" i="5"/>
  <c r="T241" i="5"/>
  <c r="R235" i="5"/>
  <c r="T233" i="5"/>
  <c r="R223" i="5"/>
  <c r="T221" i="5"/>
  <c r="R215" i="5"/>
  <c r="T213" i="5"/>
  <c r="R207" i="5"/>
  <c r="T205" i="5"/>
  <c r="R199" i="5"/>
  <c r="T197" i="5"/>
  <c r="R191" i="5"/>
  <c r="S182" i="5"/>
  <c r="S174" i="5"/>
  <c r="S166" i="5"/>
  <c r="S154" i="5"/>
  <c r="T186" i="5"/>
  <c r="T178" i="5"/>
  <c r="T170" i="5"/>
  <c r="R128" i="5"/>
  <c r="R152" i="5"/>
  <c r="T150" i="5"/>
  <c r="R119" i="5"/>
  <c r="S144" i="5"/>
  <c r="R120" i="5"/>
  <c r="R162" i="5"/>
  <c r="T156" i="5"/>
  <c r="R135" i="5"/>
  <c r="S107" i="5"/>
  <c r="R136" i="5"/>
  <c r="R124" i="5"/>
  <c r="S72" i="5"/>
  <c r="T115" i="5"/>
  <c r="T111" i="5"/>
  <c r="S82" i="5"/>
  <c r="S49" i="5"/>
  <c r="S76" i="5"/>
  <c r="S69" i="5"/>
  <c r="S80" i="5"/>
  <c r="R64" i="5"/>
  <c r="S53" i="5"/>
  <c r="S68" i="5"/>
  <c r="T122" i="5"/>
  <c r="T114" i="5"/>
  <c r="R104" i="5"/>
  <c r="T98" i="5"/>
  <c r="S77" i="5"/>
  <c r="R60" i="5"/>
  <c r="R52" i="5"/>
  <c r="T50" i="5"/>
  <c r="R36" i="5"/>
  <c r="T34" i="5"/>
  <c r="S223" i="5"/>
  <c r="S195" i="5"/>
  <c r="S235" i="5"/>
  <c r="S246" i="5"/>
  <c r="S230" i="5"/>
  <c r="S214" i="5"/>
  <c r="S198" i="5"/>
  <c r="S207" i="5"/>
  <c r="T190" i="5"/>
  <c r="R249" i="5"/>
  <c r="R241" i="5"/>
  <c r="R233" i="5"/>
  <c r="R225" i="5"/>
  <c r="R217" i="5"/>
  <c r="R209" i="5"/>
  <c r="R201" i="5"/>
  <c r="R193" i="5"/>
  <c r="S180" i="5"/>
  <c r="S172" i="5"/>
  <c r="S158" i="5"/>
  <c r="S187" i="5"/>
  <c r="T184" i="5"/>
  <c r="T176" i="5"/>
  <c r="T168" i="5"/>
  <c r="S179" i="5"/>
  <c r="S171" i="5"/>
  <c r="R227" i="5"/>
  <c r="S159" i="5"/>
  <c r="R138" i="5"/>
  <c r="R182" i="5"/>
  <c r="R174" i="5"/>
  <c r="S127" i="5"/>
  <c r="T127" i="5"/>
  <c r="R164" i="5"/>
  <c r="T162" i="5"/>
  <c r="R148" i="5"/>
  <c r="T146" i="5"/>
  <c r="T120" i="5"/>
  <c r="S95" i="5"/>
  <c r="S119" i="5"/>
  <c r="T119" i="5"/>
  <c r="T160" i="5"/>
  <c r="R150" i="5"/>
  <c r="R146" i="5"/>
  <c r="S139" i="5"/>
  <c r="S123" i="5"/>
  <c r="T123" i="5"/>
  <c r="R72" i="5"/>
  <c r="T107" i="5"/>
  <c r="S104" i="5"/>
  <c r="T99" i="5"/>
  <c r="S96" i="5"/>
  <c r="T92" i="5"/>
  <c r="T88" i="5"/>
  <c r="T84" i="5"/>
  <c r="R76" i="5"/>
  <c r="T116" i="5"/>
  <c r="S45" i="5"/>
  <c r="R80" i="5"/>
  <c r="T64" i="5"/>
  <c r="S93" i="5"/>
  <c r="S84" i="5"/>
  <c r="S73" i="5"/>
  <c r="S41" i="5"/>
  <c r="R68" i="5"/>
  <c r="R31" i="5"/>
  <c r="S31" i="5"/>
  <c r="T118" i="5"/>
  <c r="R108" i="5"/>
  <c r="T102" i="5"/>
  <c r="T86" i="5"/>
  <c r="S37" i="5"/>
  <c r="T58" i="5"/>
  <c r="R48" i="5"/>
  <c r="T46" i="5"/>
  <c r="S40" i="5"/>
  <c r="T60" i="5"/>
  <c r="R50" i="5"/>
  <c r="T44" i="5"/>
  <c r="T32" i="5"/>
  <c r="S52" i="5"/>
  <c r="S36" i="5"/>
  <c r="R54" i="5"/>
  <c r="T48" i="5"/>
  <c r="S48" i="5"/>
  <c r="S32" i="5"/>
  <c r="R58" i="5"/>
  <c r="T52" i="5"/>
  <c r="T36" i="5"/>
  <c r="R32" i="5"/>
  <c r="T38" i="5"/>
  <c r="S56" i="5"/>
  <c r="S44" i="5"/>
  <c r="R78" i="5"/>
  <c r="R70" i="5"/>
  <c r="R62" i="5"/>
  <c r="T56" i="5"/>
  <c r="R46" i="5"/>
  <c r="T40" i="5"/>
  <c r="R34" i="5"/>
  <c r="S60" i="5"/>
  <c r="R74" i="5"/>
  <c r="R66" i="5"/>
  <c r="R38" i="5"/>
  <c r="R40" i="5"/>
  <c r="R42" i="5"/>
  <c r="V194" i="5"/>
  <c r="V214" i="5"/>
  <c r="V183" i="5"/>
  <c r="M138" i="5"/>
  <c r="I138" i="5"/>
  <c r="U138" i="5"/>
  <c r="V99" i="5"/>
  <c r="V244" i="5"/>
  <c r="V196" i="5"/>
  <c r="V210" i="5"/>
  <c r="V240" i="5"/>
  <c r="V198" i="5"/>
  <c r="V175" i="5"/>
  <c r="V160" i="5"/>
  <c r="V144" i="5"/>
  <c r="V166" i="5"/>
  <c r="M142" i="5"/>
  <c r="I142" i="5"/>
  <c r="U142" i="5"/>
  <c r="M134" i="5"/>
  <c r="I134" i="5"/>
  <c r="U134" i="5"/>
  <c r="V131" i="5"/>
  <c r="V83" i="5"/>
  <c r="V211" i="5"/>
  <c r="V195" i="5"/>
  <c r="V241" i="5"/>
  <c r="V232" i="5"/>
  <c r="V154" i="5"/>
  <c r="V145" i="5"/>
  <c r="V169" i="5"/>
  <c r="V68" i="5"/>
  <c r="V72" i="5"/>
  <c r="V67" i="5"/>
  <c r="V245" i="5"/>
  <c r="V204" i="5"/>
  <c r="V215" i="5"/>
  <c r="V199" i="5"/>
  <c r="V206" i="5"/>
  <c r="V164" i="5"/>
  <c r="V148" i="5"/>
  <c r="V171" i="5"/>
  <c r="V152" i="5"/>
  <c r="V173" i="5"/>
  <c r="V107" i="5"/>
  <c r="V88" i="5"/>
  <c r="V106" i="5"/>
  <c r="V246" i="5"/>
  <c r="V250" i="5"/>
  <c r="V165" i="5"/>
  <c r="V162" i="5"/>
  <c r="V146" i="5"/>
  <c r="V153" i="5"/>
  <c r="V177" i="5"/>
  <c r="V64" i="5"/>
  <c r="R30" i="5"/>
  <c r="V207" i="5"/>
  <c r="V156" i="5"/>
  <c r="V63" i="5"/>
  <c r="V237" i="5"/>
  <c r="V227" i="5"/>
  <c r="V212" i="5"/>
  <c r="V234" i="5"/>
  <c r="V155" i="5"/>
  <c r="I191" i="5"/>
  <c r="M191" i="5"/>
  <c r="U191" i="5"/>
  <c r="V150" i="5"/>
  <c r="I139" i="5"/>
  <c r="M139" i="5"/>
  <c r="U139" i="5"/>
  <c r="V132" i="5"/>
  <c r="V123" i="5"/>
  <c r="V94" i="5"/>
  <c r="V200" i="5"/>
  <c r="V229" i="5"/>
  <c r="V202" i="5"/>
  <c r="V242" i="5"/>
  <c r="V147" i="5"/>
  <c r="V187" i="5"/>
  <c r="V126" i="5"/>
  <c r="V59" i="5"/>
  <c r="V236" i="5"/>
  <c r="V224" i="5"/>
  <c r="V151" i="5"/>
  <c r="V58" i="5"/>
  <c r="V78" i="5"/>
  <c r="V35" i="5"/>
  <c r="S30" i="5"/>
  <c r="V226" i="5"/>
  <c r="V74" i="5"/>
  <c r="V238" i="5"/>
  <c r="V217" i="5"/>
  <c r="V201" i="5"/>
  <c r="V221" i="5"/>
  <c r="V205" i="5"/>
  <c r="V157" i="5"/>
  <c r="V161" i="5"/>
  <c r="V185" i="5"/>
  <c r="V119" i="5"/>
  <c r="V103" i="5"/>
  <c r="V62" i="5"/>
  <c r="V79" i="5"/>
  <c r="V220" i="5"/>
  <c r="V231" i="5"/>
  <c r="V222" i="5"/>
  <c r="V179" i="5"/>
  <c r="V158" i="5"/>
  <c r="V76" i="5"/>
  <c r="V239" i="5"/>
  <c r="V213" i="5"/>
  <c r="V197" i="5"/>
  <c r="V149" i="5"/>
  <c r="V167" i="5"/>
  <c r="V92" i="5"/>
  <c r="V80" i="5"/>
  <c r="V39" i="5"/>
  <c r="V31" i="5"/>
  <c r="R206" i="5" l="1"/>
  <c r="T196" i="5"/>
  <c r="R185" i="5"/>
  <c r="R242" i="5"/>
  <c r="T177" i="5"/>
  <c r="S231" i="5"/>
  <c r="T214" i="5"/>
  <c r="T198" i="5"/>
  <c r="R171" i="5"/>
  <c r="R161" i="5"/>
  <c r="T151" i="5"/>
  <c r="R133" i="5"/>
  <c r="S177" i="5"/>
  <c r="S145" i="5"/>
  <c r="S122" i="5"/>
  <c r="T153" i="5"/>
  <c r="S142" i="5"/>
  <c r="S134" i="5"/>
  <c r="R125" i="5"/>
  <c r="R91" i="5"/>
  <c r="S113" i="5"/>
  <c r="S101" i="5"/>
  <c r="S91" i="5"/>
  <c r="S74" i="5"/>
  <c r="S110" i="5"/>
  <c r="R99" i="5"/>
  <c r="S90" i="5"/>
  <c r="T69" i="5"/>
  <c r="S67" i="5"/>
  <c r="S35" i="5"/>
  <c r="T67" i="5"/>
  <c r="T51" i="5"/>
  <c r="T35" i="5"/>
  <c r="R55" i="5"/>
  <c r="T45" i="5"/>
  <c r="S34" i="5"/>
  <c r="S205" i="5"/>
  <c r="R194" i="5"/>
  <c r="R181" i="5"/>
  <c r="R238" i="5"/>
  <c r="T173" i="5"/>
  <c r="T230" i="5"/>
  <c r="R212" i="5"/>
  <c r="R196" i="5"/>
  <c r="R167" i="5"/>
  <c r="S160" i="5"/>
  <c r="R149" i="5"/>
  <c r="S129" i="5"/>
  <c r="S173" i="5"/>
  <c r="S141" i="5"/>
  <c r="S118" i="5"/>
  <c r="R151" i="5"/>
  <c r="T141" i="5"/>
  <c r="T133" i="5"/>
  <c r="R121" i="5"/>
  <c r="R87" i="5"/>
  <c r="R110" i="5"/>
  <c r="T100" i="5"/>
  <c r="R89" i="5"/>
  <c r="R71" i="5"/>
  <c r="T109" i="5"/>
  <c r="S98" i="5"/>
  <c r="T89" i="5"/>
  <c r="R79" i="5"/>
  <c r="S63" i="5"/>
  <c r="R81" i="5"/>
  <c r="R65" i="5"/>
  <c r="R49" i="5"/>
  <c r="R33" i="5"/>
  <c r="S54" i="5"/>
  <c r="R43" i="5"/>
  <c r="T33" i="5"/>
  <c r="R177" i="5"/>
  <c r="S237" i="5"/>
  <c r="T169" i="5"/>
  <c r="T226" i="5"/>
  <c r="T210" i="5"/>
  <c r="T194" i="5"/>
  <c r="S130" i="5"/>
  <c r="T159" i="5"/>
  <c r="S148" i="5"/>
  <c r="T125" i="5"/>
  <c r="S169" i="5"/>
  <c r="S137" i="5"/>
  <c r="T165" i="5"/>
  <c r="S150" i="5"/>
  <c r="S140" i="5"/>
  <c r="S132" i="5"/>
  <c r="R117" i="5"/>
  <c r="T77" i="5"/>
  <c r="S109" i="5"/>
  <c r="R98" i="5"/>
  <c r="R88" i="5"/>
  <c r="T65" i="5"/>
  <c r="R107" i="5"/>
  <c r="T97" i="5"/>
  <c r="T87" i="5"/>
  <c r="T73" i="5"/>
  <c r="S59" i="5"/>
  <c r="T79" i="5"/>
  <c r="T63" i="5"/>
  <c r="T47" i="5"/>
  <c r="R63" i="5"/>
  <c r="T53" i="5"/>
  <c r="S42" i="5"/>
  <c r="T179" i="5"/>
  <c r="T240" i="5"/>
  <c r="R222" i="5"/>
  <c r="T212" i="5"/>
  <c r="S201" i="5"/>
  <c r="S190" i="5"/>
  <c r="R169" i="5"/>
  <c r="S233" i="5"/>
  <c r="R240" i="5"/>
  <c r="T222" i="5"/>
  <c r="T206" i="5"/>
  <c r="R189" i="5"/>
  <c r="T121" i="5"/>
  <c r="S156" i="5"/>
  <c r="R145" i="5"/>
  <c r="R123" i="5"/>
  <c r="S161" i="5"/>
  <c r="T129" i="5"/>
  <c r="T161" i="5"/>
  <c r="R147" i="5"/>
  <c r="S138" i="5"/>
  <c r="R130" i="5"/>
  <c r="R109" i="5"/>
  <c r="R67" i="5"/>
  <c r="R106" i="5"/>
  <c r="T96" i="5"/>
  <c r="R85" i="5"/>
  <c r="R115" i="5"/>
  <c r="T105" i="5"/>
  <c r="S94" i="5"/>
  <c r="T85" i="5"/>
  <c r="S83" i="5"/>
  <c r="S51" i="5"/>
  <c r="T75" i="5"/>
  <c r="T59" i="5"/>
  <c r="T43" i="5"/>
  <c r="T61" i="5"/>
  <c r="S50" i="5"/>
  <c r="R39" i="5"/>
  <c r="S221" i="5"/>
  <c r="R210" i="5"/>
  <c r="T200" i="5"/>
  <c r="T189" i="5"/>
  <c r="R250" i="5"/>
  <c r="S229" i="5"/>
  <c r="R236" i="5"/>
  <c r="R220" i="5"/>
  <c r="R204" i="5"/>
  <c r="R183" i="5"/>
  <c r="R165" i="5"/>
  <c r="T155" i="5"/>
  <c r="T143" i="5"/>
  <c r="R122" i="5"/>
  <c r="S157" i="5"/>
  <c r="T128" i="5"/>
  <c r="R159" i="5"/>
  <c r="S146" i="5"/>
  <c r="T137" i="5"/>
  <c r="S126" i="5"/>
  <c r="R105" i="5"/>
  <c r="R118" i="5"/>
  <c r="S105" i="5"/>
  <c r="R94" i="5"/>
  <c r="R84" i="5"/>
  <c r="S114" i="5"/>
  <c r="R103" i="5"/>
  <c r="T93" i="5"/>
  <c r="T83" i="5"/>
  <c r="S79" i="5"/>
  <c r="S47" i="5"/>
  <c r="R73" i="5"/>
  <c r="R57" i="5"/>
  <c r="R41" i="5"/>
  <c r="R59" i="5"/>
  <c r="T49" i="5"/>
  <c r="S38" i="5"/>
  <c r="S236" i="5"/>
  <c r="S204" i="5"/>
  <c r="T171" i="5"/>
  <c r="T232" i="5"/>
  <c r="T220" i="5"/>
  <c r="S209" i="5"/>
  <c r="R198" i="5"/>
  <c r="S188" i="5"/>
  <c r="T248" i="5"/>
  <c r="T185" i="5"/>
  <c r="T234" i="5"/>
  <c r="T218" i="5"/>
  <c r="T202" i="5"/>
  <c r="R179" i="5"/>
  <c r="S164" i="5"/>
  <c r="R153" i="5"/>
  <c r="R141" i="5"/>
  <c r="S185" i="5"/>
  <c r="S153" i="5"/>
  <c r="R127" i="5"/>
  <c r="T157" i="5"/>
  <c r="T145" i="5"/>
  <c r="S136" i="5"/>
  <c r="S121" i="5"/>
  <c r="R101" i="5"/>
  <c r="S117" i="5"/>
  <c r="T104" i="5"/>
  <c r="R93" i="5"/>
  <c r="R83" i="5"/>
  <c r="T113" i="5"/>
  <c r="S102" i="5"/>
  <c r="S92" i="5"/>
  <c r="S78" i="5"/>
  <c r="S75" i="5"/>
  <c r="S43" i="5"/>
  <c r="T71" i="5"/>
  <c r="T55" i="5"/>
  <c r="T39" i="5"/>
  <c r="S58" i="5"/>
  <c r="R47" i="5"/>
  <c r="T37" i="5"/>
  <c r="B16" i="5"/>
  <c r="B18" i="5" s="1"/>
  <c r="B19" i="5" s="1"/>
  <c r="I52" i="5"/>
  <c r="M52" i="5"/>
  <c r="U52" i="5"/>
  <c r="V52" i="5" s="1"/>
  <c r="I53" i="5"/>
  <c r="M53" i="5"/>
  <c r="U53" i="5"/>
  <c r="V53" i="5" s="1"/>
  <c r="V142" i="5"/>
  <c r="V143" i="5"/>
  <c r="V191" i="5"/>
  <c r="V134" i="5"/>
  <c r="V138" i="5"/>
  <c r="V190" i="5"/>
  <c r="V139" i="5"/>
  <c r="V135" i="5"/>
  <c r="B17" i="5" l="1"/>
  <c r="E15" i="5"/>
  <c r="X86" i="5" s="1"/>
  <c r="B4" i="5"/>
  <c r="X136" i="5"/>
  <c r="X140" i="5"/>
  <c r="Y127" i="5"/>
  <c r="Y128" i="5"/>
  <c r="W188" i="5"/>
  <c r="X180" i="5"/>
  <c r="X172" i="5"/>
  <c r="W128" i="5"/>
  <c r="Y124" i="5"/>
  <c r="W140" i="5"/>
  <c r="W104" i="5"/>
  <c r="W96" i="5"/>
  <c r="X82" i="5"/>
  <c r="X116" i="5"/>
  <c r="X118" i="5"/>
  <c r="X247" i="5"/>
  <c r="W180" i="5"/>
  <c r="W172" i="5"/>
  <c r="X186" i="5"/>
  <c r="X170" i="5"/>
  <c r="W112" i="5"/>
  <c r="X130" i="5"/>
  <c r="W247" i="5"/>
  <c r="W186" i="5"/>
  <c r="W170" i="5"/>
  <c r="X168" i="5"/>
  <c r="Y188" i="5"/>
  <c r="W127" i="5"/>
  <c r="X127" i="5"/>
  <c r="Y136" i="5"/>
  <c r="W108" i="5"/>
  <c r="W100" i="5"/>
  <c r="X84" i="5"/>
  <c r="W82" i="5"/>
  <c r="Y90" i="5"/>
  <c r="X66" i="5"/>
  <c r="W184" i="5"/>
  <c r="W176" i="5"/>
  <c r="W168" i="5"/>
  <c r="X174" i="5"/>
  <c r="W89" i="5"/>
  <c r="W85" i="5"/>
  <c r="X122" i="5"/>
  <c r="X114" i="5"/>
  <c r="Y93" i="5"/>
  <c r="W73" i="5"/>
  <c r="W65" i="5"/>
  <c r="W53" i="5"/>
  <c r="X40" i="5"/>
  <c r="W40" i="5"/>
  <c r="W60" i="5"/>
  <c r="W36" i="5"/>
  <c r="W69" i="5"/>
  <c r="W45" i="5"/>
  <c r="W32" i="5"/>
  <c r="X36" i="5"/>
  <c r="W57" i="5"/>
  <c r="X44" i="5"/>
  <c r="X32" i="5"/>
  <c r="W52" i="5"/>
  <c r="X48" i="5"/>
  <c r="W33" i="5"/>
  <c r="W46" i="5"/>
  <c r="W38" i="5"/>
  <c r="W50" i="5"/>
  <c r="Y73" i="5"/>
  <c r="X65" i="5"/>
  <c r="Y114" i="5"/>
  <c r="Y96" i="5"/>
  <c r="Y87" i="5"/>
  <c r="X113" i="5"/>
  <c r="Y69" i="5"/>
  <c r="W130" i="5"/>
  <c r="W133" i="5"/>
  <c r="X189" i="5"/>
  <c r="Y40" i="5"/>
  <c r="Y57" i="5"/>
  <c r="W121" i="5"/>
  <c r="W122" i="5"/>
  <c r="X248" i="5"/>
  <c r="X137" i="5"/>
  <c r="W125" i="5"/>
  <c r="Y42" i="5"/>
  <c r="X46" i="5"/>
  <c r="W30" i="5"/>
  <c r="X49" i="5"/>
  <c r="Y65" i="5"/>
  <c r="X81" i="5"/>
  <c r="W110" i="5"/>
  <c r="X101" i="5"/>
  <c r="Y97" i="5"/>
  <c r="Y113" i="5"/>
  <c r="Y91" i="5"/>
  <c r="Y130" i="5"/>
  <c r="X141" i="5"/>
  <c r="Y37" i="5"/>
  <c r="W75" i="5"/>
  <c r="W71" i="5"/>
  <c r="W109" i="5"/>
  <c r="X108" i="5"/>
  <c r="Y45" i="5"/>
  <c r="X33" i="5"/>
  <c r="W84" i="5"/>
  <c r="X104" i="5"/>
  <c r="Y89" i="5"/>
  <c r="X93" i="5"/>
  <c r="X125" i="5"/>
  <c r="Y129" i="5"/>
  <c r="Y125" i="5"/>
  <c r="Y46" i="5"/>
  <c r="Y36" i="5"/>
  <c r="Y53" i="5"/>
  <c r="Y81" i="5"/>
  <c r="W114" i="5"/>
  <c r="X77" i="5"/>
  <c r="W91" i="5"/>
  <c r="Y133" i="5"/>
  <c r="Y141" i="5"/>
  <c r="W189" i="5"/>
  <c r="W192" i="5"/>
  <c r="X57" i="5"/>
  <c r="X75" i="5"/>
  <c r="X71" i="5"/>
  <c r="X109" i="5"/>
  <c r="Y122" i="5"/>
  <c r="X124" i="5"/>
  <c r="Y172" i="5"/>
  <c r="Y176" i="5"/>
  <c r="W70" i="5"/>
  <c r="W66" i="5"/>
  <c r="Y117" i="5"/>
  <c r="X129" i="5"/>
  <c r="Y184" i="5"/>
  <c r="Y170" i="5"/>
  <c r="Y180" i="5"/>
  <c r="W34" i="5"/>
  <c r="X73" i="5"/>
  <c r="Y32" i="5"/>
  <c r="Y49" i="5"/>
  <c r="Y77" i="5"/>
  <c r="W97" i="5"/>
  <c r="W113" i="5"/>
  <c r="Y178" i="5"/>
  <c r="Y60" i="5"/>
  <c r="X91" i="5"/>
  <c r="Y168" i="5"/>
  <c r="Y41" i="5"/>
  <c r="X37" i="5"/>
  <c r="Y75" i="5"/>
  <c r="Y109" i="5"/>
  <c r="Y105" i="5"/>
  <c r="W248" i="5"/>
  <c r="X45" i="5"/>
  <c r="Y70" i="5"/>
  <c r="Y66" i="5"/>
  <c r="W129" i="5"/>
  <c r="W117" i="5"/>
  <c r="W93" i="5"/>
  <c r="W223" i="5"/>
  <c r="Y51" i="5"/>
  <c r="Y243" i="5"/>
  <c r="Y228" i="5"/>
  <c r="Y216" i="5"/>
  <c r="Y159" i="5"/>
  <c r="Y47" i="5"/>
  <c r="Y235" i="5"/>
  <c r="Y55" i="5"/>
  <c r="Y43" i="5"/>
  <c r="Y230" i="5"/>
  <c r="Y219" i="5"/>
  <c r="Y203" i="5"/>
  <c r="W209" i="5"/>
  <c r="W193" i="5"/>
  <c r="Y95" i="5"/>
  <c r="X183" i="5"/>
  <c r="W99" i="5"/>
  <c r="W244" i="5"/>
  <c r="W196" i="5"/>
  <c r="W210" i="5"/>
  <c r="W198" i="5"/>
  <c r="X160" i="5"/>
  <c r="X144" i="5"/>
  <c r="X166" i="5"/>
  <c r="X131" i="5"/>
  <c r="W83" i="5"/>
  <c r="W211" i="5"/>
  <c r="W195" i="5"/>
  <c r="X154" i="5"/>
  <c r="Y145" i="5"/>
  <c r="X169" i="5"/>
  <c r="X68" i="5"/>
  <c r="X72" i="5"/>
  <c r="X245" i="5"/>
  <c r="W204" i="5"/>
  <c r="X199" i="5"/>
  <c r="W206" i="5"/>
  <c r="X164" i="5"/>
  <c r="X148" i="5"/>
  <c r="W171" i="5"/>
  <c r="X152" i="5"/>
  <c r="X173" i="5"/>
  <c r="W107" i="5"/>
  <c r="Y88" i="5"/>
  <c r="X106" i="5"/>
  <c r="W246" i="5"/>
  <c r="W250" i="5"/>
  <c r="Y165" i="5"/>
  <c r="X162" i="5"/>
  <c r="X146" i="5"/>
  <c r="Y153" i="5"/>
  <c r="X177" i="5"/>
  <c r="X64" i="5"/>
  <c r="Y207" i="5"/>
  <c r="W156" i="5"/>
  <c r="Y63" i="5"/>
  <c r="Y212" i="5"/>
  <c r="Y234" i="5"/>
  <c r="Y155" i="5"/>
  <c r="X150" i="5"/>
  <c r="X132" i="5"/>
  <c r="Y123" i="5"/>
  <c r="Y200" i="5"/>
  <c r="W229" i="5"/>
  <c r="Y242" i="5"/>
  <c r="Y147" i="5"/>
  <c r="Y187" i="5"/>
  <c r="W126" i="5"/>
  <c r="Y59" i="5"/>
  <c r="X236" i="5"/>
  <c r="Y224" i="5"/>
  <c r="Y151" i="5"/>
  <c r="Y78" i="5"/>
  <c r="Y35" i="5"/>
  <c r="Y217" i="5"/>
  <c r="Y201" i="5"/>
  <c r="Y221" i="5"/>
  <c r="Y205" i="5"/>
  <c r="X157" i="5"/>
  <c r="X161" i="5"/>
  <c r="W185" i="5"/>
  <c r="Y119" i="5"/>
  <c r="W62" i="5"/>
  <c r="Y79" i="5"/>
  <c r="X222" i="5"/>
  <c r="Y179" i="5"/>
  <c r="W158" i="5"/>
  <c r="Y213" i="5"/>
  <c r="Y197" i="5"/>
  <c r="X149" i="5"/>
  <c r="Y167" i="5"/>
  <c r="Y92" i="5"/>
  <c r="W187" i="5"/>
  <c r="W231" i="5"/>
  <c r="Y76" i="5"/>
  <c r="X223" i="5"/>
  <c r="Y56" i="5"/>
  <c r="W102" i="5"/>
  <c r="W181" i="5"/>
  <c r="X218" i="5"/>
  <c r="W249" i="5"/>
  <c r="W98" i="5"/>
  <c r="W225" i="5"/>
  <c r="Y209" i="5"/>
  <c r="Y193" i="5"/>
  <c r="W233" i="5"/>
  <c r="W54" i="5"/>
  <c r="X194" i="5"/>
  <c r="X214" i="5"/>
  <c r="Y183" i="5"/>
  <c r="X99" i="5"/>
  <c r="X244" i="5"/>
  <c r="X196" i="5"/>
  <c r="Y210" i="5"/>
  <c r="W240" i="5"/>
  <c r="Y198" i="5"/>
  <c r="W166" i="5"/>
  <c r="W131" i="5"/>
  <c r="X83" i="5"/>
  <c r="X211" i="5"/>
  <c r="X195" i="5"/>
  <c r="W232" i="5"/>
  <c r="Y154" i="5"/>
  <c r="W68" i="5"/>
  <c r="W72" i="5"/>
  <c r="W67" i="5"/>
  <c r="Y245" i="5"/>
  <c r="X204" i="5"/>
  <c r="W215" i="5"/>
  <c r="W199" i="5"/>
  <c r="Y206" i="5"/>
  <c r="X107" i="5"/>
  <c r="X88" i="5"/>
  <c r="Y106" i="5"/>
  <c r="X246" i="5"/>
  <c r="Y162" i="5"/>
  <c r="Y146" i="5"/>
  <c r="W64" i="5"/>
  <c r="Y156" i="5"/>
  <c r="W237" i="5"/>
  <c r="W227" i="5"/>
  <c r="Y150" i="5"/>
  <c r="W94" i="5"/>
  <c r="Y229" i="5"/>
  <c r="X202" i="5"/>
  <c r="Y126" i="5"/>
  <c r="Y236" i="5"/>
  <c r="W58" i="5"/>
  <c r="W226" i="5"/>
  <c r="X74" i="5"/>
  <c r="W238" i="5"/>
  <c r="X217" i="5"/>
  <c r="X201" i="5"/>
  <c r="X221" i="5"/>
  <c r="X205" i="5"/>
  <c r="Y157" i="5"/>
  <c r="Y161" i="5"/>
  <c r="X185" i="5"/>
  <c r="X119" i="5"/>
  <c r="X103" i="5"/>
  <c r="X62" i="5"/>
  <c r="W220" i="5"/>
  <c r="X231" i="5"/>
  <c r="W179" i="5"/>
  <c r="X76" i="5"/>
  <c r="X197" i="5"/>
  <c r="W167" i="5"/>
  <c r="X80" i="5"/>
  <c r="X156" i="5"/>
  <c r="W63" i="5"/>
  <c r="X237" i="5"/>
  <c r="X227" i="5"/>
  <c r="W212" i="5"/>
  <c r="W234" i="5"/>
  <c r="W155" i="5"/>
  <c r="X123" i="5"/>
  <c r="X94" i="5"/>
  <c r="X229" i="5"/>
  <c r="W147" i="5"/>
  <c r="X78" i="5"/>
  <c r="X226" i="5"/>
  <c r="X238" i="5"/>
  <c r="Y62" i="5"/>
  <c r="Y222" i="5"/>
  <c r="X239" i="5"/>
  <c r="X39" i="5"/>
  <c r="Y223" i="5"/>
  <c r="X56" i="5"/>
  <c r="X102" i="5"/>
  <c r="X181" i="5"/>
  <c r="W51" i="5"/>
  <c r="X243" i="5"/>
  <c r="W228" i="5"/>
  <c r="W216" i="5"/>
  <c r="W159" i="5"/>
  <c r="W47" i="5"/>
  <c r="X235" i="5"/>
  <c r="W218" i="5"/>
  <c r="X249" i="5"/>
  <c r="W163" i="5"/>
  <c r="W55" i="5"/>
  <c r="X98" i="5"/>
  <c r="W43" i="5"/>
  <c r="W230" i="5"/>
  <c r="X219" i="5"/>
  <c r="X203" i="5"/>
  <c r="X225" i="5"/>
  <c r="X209" i="5"/>
  <c r="X193" i="5"/>
  <c r="X233" i="5"/>
  <c r="W208" i="5"/>
  <c r="W95" i="5"/>
  <c r="X54" i="5"/>
  <c r="W194" i="5"/>
  <c r="W214" i="5"/>
  <c r="W183" i="5"/>
  <c r="Y99" i="5"/>
  <c r="Y244" i="5"/>
  <c r="Y196" i="5"/>
  <c r="X240" i="5"/>
  <c r="X175" i="5"/>
  <c r="W160" i="5"/>
  <c r="W144" i="5"/>
  <c r="Y166" i="5"/>
  <c r="Y211" i="5"/>
  <c r="Y195" i="5"/>
  <c r="W241" i="5"/>
  <c r="X232" i="5"/>
  <c r="W145" i="5"/>
  <c r="Y169" i="5"/>
  <c r="Y68" i="5"/>
  <c r="Y72" i="5"/>
  <c r="X67" i="5"/>
  <c r="Y204" i="5"/>
  <c r="Y215" i="5"/>
  <c r="Y199" i="5"/>
  <c r="W164" i="5"/>
  <c r="W148" i="5"/>
  <c r="X171" i="5"/>
  <c r="W152" i="5"/>
  <c r="Y173" i="5"/>
  <c r="Y107" i="5"/>
  <c r="Y246" i="5"/>
  <c r="Y250" i="5"/>
  <c r="W165" i="5"/>
  <c r="W153" i="5"/>
  <c r="Y177" i="5"/>
  <c r="Y64" i="5"/>
  <c r="Y132" i="5"/>
  <c r="W202" i="5"/>
  <c r="W59" i="5"/>
  <c r="W151" i="5"/>
  <c r="W74" i="5"/>
  <c r="W79" i="5"/>
  <c r="Y158" i="5"/>
  <c r="X31" i="5"/>
  <c r="W56" i="5"/>
  <c r="Y102" i="5"/>
  <c r="X51" i="5"/>
  <c r="W243" i="5"/>
  <c r="X228" i="5"/>
  <c r="X216" i="5"/>
  <c r="X159" i="5"/>
  <c r="X47" i="5"/>
  <c r="W235" i="5"/>
  <c r="Y218" i="5"/>
  <c r="Y249" i="5"/>
  <c r="X163" i="5"/>
  <c r="X55" i="5"/>
  <c r="Y98" i="5"/>
  <c r="X43" i="5"/>
  <c r="X230" i="5"/>
  <c r="W219" i="5"/>
  <c r="W203" i="5"/>
  <c r="Y225" i="5"/>
  <c r="Y233" i="5"/>
  <c r="X208" i="5"/>
  <c r="X95" i="5"/>
  <c r="Y54" i="5"/>
  <c r="Y194" i="5"/>
  <c r="Y214" i="5"/>
  <c r="X210" i="5"/>
  <c r="Y240" i="5"/>
  <c r="X198" i="5"/>
  <c r="Y175" i="5"/>
  <c r="Y160" i="5"/>
  <c r="Y144" i="5"/>
  <c r="Y131" i="5"/>
  <c r="Y83" i="5"/>
  <c r="Y241" i="5"/>
  <c r="Y232" i="5"/>
  <c r="W154" i="5"/>
  <c r="X145" i="5"/>
  <c r="W169" i="5"/>
  <c r="Y67" i="5"/>
  <c r="W245" i="5"/>
  <c r="X206" i="5"/>
  <c r="Y164" i="5"/>
  <c r="Y148" i="5"/>
  <c r="Y171" i="5"/>
  <c r="Y152" i="5"/>
  <c r="W173" i="5"/>
  <c r="W88" i="5"/>
  <c r="W106" i="5"/>
  <c r="X250" i="5"/>
  <c r="X165" i="5"/>
  <c r="W162" i="5"/>
  <c r="W146" i="5"/>
  <c r="X153" i="5"/>
  <c r="W177" i="5"/>
  <c r="X207" i="5"/>
  <c r="X63" i="5"/>
  <c r="Y237" i="5"/>
  <c r="Y227" i="5"/>
  <c r="X212" i="5"/>
  <c r="X234" i="5"/>
  <c r="X155" i="5"/>
  <c r="W150" i="5"/>
  <c r="W132" i="5"/>
  <c r="W123" i="5"/>
  <c r="Y94" i="5"/>
  <c r="X200" i="5"/>
  <c r="Y202" i="5"/>
  <c r="X242" i="5"/>
  <c r="X147" i="5"/>
  <c r="X187" i="5"/>
  <c r="X59" i="5"/>
  <c r="W236" i="5"/>
  <c r="X224" i="5"/>
  <c r="X151" i="5"/>
  <c r="Y58" i="5"/>
  <c r="W78" i="5"/>
  <c r="X35" i="5"/>
  <c r="Y226" i="5"/>
  <c r="Y74" i="5"/>
  <c r="Y238" i="5"/>
  <c r="W217" i="5"/>
  <c r="W201" i="5"/>
  <c r="W221" i="5"/>
  <c r="W205" i="5"/>
  <c r="W157" i="5"/>
  <c r="W161" i="5"/>
  <c r="Y185" i="5"/>
  <c r="Y103" i="5"/>
  <c r="X79" i="5"/>
  <c r="Y220" i="5"/>
  <c r="Y231" i="5"/>
  <c r="X179" i="5"/>
  <c r="W76" i="5"/>
  <c r="Y239" i="5"/>
  <c r="W213" i="5"/>
  <c r="W197" i="5"/>
  <c r="W149" i="5"/>
  <c r="X167" i="5"/>
  <c r="W92" i="5"/>
  <c r="Y80" i="5"/>
  <c r="Y39" i="5"/>
  <c r="Y31" i="5"/>
  <c r="W222" i="5"/>
  <c r="X158" i="5"/>
  <c r="W239" i="5"/>
  <c r="X213" i="5"/>
  <c r="Y149" i="5"/>
  <c r="X92" i="5"/>
  <c r="W39" i="5"/>
  <c r="W31" i="5"/>
  <c r="W207" i="5"/>
  <c r="W200" i="5"/>
  <c r="W242" i="5"/>
  <c r="X126" i="5"/>
  <c r="W224" i="5"/>
  <c r="X58" i="5"/>
  <c r="W35" i="5"/>
  <c r="W119" i="5"/>
  <c r="W103" i="5"/>
  <c r="X220" i="5"/>
  <c r="W80" i="5"/>
  <c r="W143" i="5"/>
  <c r="X191" i="5"/>
  <c r="Y134" i="5"/>
  <c r="Y138" i="5"/>
  <c r="Y139" i="5"/>
  <c r="Y135" i="5"/>
  <c r="W142" i="5"/>
  <c r="X143" i="5"/>
  <c r="Y191" i="5"/>
  <c r="X134" i="5"/>
  <c r="X138" i="5"/>
  <c r="X190" i="5"/>
  <c r="W139" i="5"/>
  <c r="X135" i="5"/>
  <c r="Y142" i="5"/>
  <c r="W190" i="5"/>
  <c r="X139" i="5"/>
  <c r="X142" i="5"/>
  <c r="Y143" i="5"/>
  <c r="W191" i="5"/>
  <c r="W134" i="5"/>
  <c r="W138" i="5"/>
  <c r="Y190" i="5"/>
  <c r="W135" i="5"/>
  <c r="W137" i="5" l="1"/>
  <c r="Y116" i="5"/>
  <c r="X192" i="5"/>
  <c r="X85" i="5"/>
  <c r="Y30" i="5"/>
  <c r="X112" i="5"/>
  <c r="Y115" i="5"/>
  <c r="Y61" i="5"/>
  <c r="X87" i="5"/>
  <c r="Y50" i="5"/>
  <c r="Y100" i="5"/>
  <c r="Y248" i="5"/>
  <c r="X41" i="5"/>
  <c r="W87" i="5"/>
  <c r="X50" i="5"/>
  <c r="Y52" i="5"/>
  <c r="X61" i="5"/>
  <c r="X97" i="5"/>
  <c r="X53" i="5"/>
  <c r="W61" i="5"/>
  <c r="W49" i="5"/>
  <c r="W41" i="5"/>
  <c r="W81" i="5"/>
  <c r="X111" i="5"/>
  <c r="X70" i="5"/>
  <c r="X120" i="5"/>
  <c r="X176" i="5"/>
  <c r="W116" i="5"/>
  <c r="Y86" i="5"/>
  <c r="Y120" i="5"/>
  <c r="W174" i="5"/>
  <c r="W90" i="5"/>
  <c r="Y112" i="5"/>
  <c r="Y121" i="5"/>
  <c r="Y189" i="5"/>
  <c r="X96" i="5"/>
  <c r="W42" i="5"/>
  <c r="Y104" i="5"/>
  <c r="X105" i="5"/>
  <c r="Y48" i="5"/>
  <c r="Y101" i="5"/>
  <c r="Y38" i="5"/>
  <c r="X117" i="5"/>
  <c r="W105" i="5"/>
  <c r="Y186" i="5"/>
  <c r="Y111" i="5"/>
  <c r="Y34" i="5"/>
  <c r="Y247" i="5"/>
  <c r="Y192" i="5"/>
  <c r="Y85" i="5"/>
  <c r="X42" i="5"/>
  <c r="W77" i="5"/>
  <c r="X52" i="5"/>
  <c r="X60" i="5"/>
  <c r="W44" i="5"/>
  <c r="E16" i="5" s="1"/>
  <c r="X115" i="5"/>
  <c r="Y82" i="5"/>
  <c r="W136" i="5"/>
  <c r="X184" i="5"/>
  <c r="X128" i="5"/>
  <c r="W115" i="5"/>
  <c r="W124" i="5"/>
  <c r="W182" i="5"/>
  <c r="W86" i="5"/>
  <c r="X90" i="5"/>
  <c r="X215" i="5"/>
  <c r="X241" i="5"/>
  <c r="W175" i="5"/>
  <c r="Y208" i="5"/>
  <c r="Y163" i="5"/>
  <c r="Y181" i="5"/>
  <c r="Y33" i="5"/>
  <c r="Y71" i="5"/>
  <c r="X69" i="5"/>
  <c r="Y110" i="5"/>
  <c r="X89" i="5"/>
  <c r="Y44" i="5"/>
  <c r="Y108" i="5"/>
  <c r="Y174" i="5"/>
  <c r="Y118" i="5"/>
  <c r="X100" i="5"/>
  <c r="Y137" i="5"/>
  <c r="X121" i="5"/>
  <c r="X133" i="5"/>
  <c r="W118" i="5"/>
  <c r="X38" i="5"/>
  <c r="Y182" i="5"/>
  <c r="W141" i="5"/>
  <c r="W101" i="5"/>
  <c r="X30" i="5"/>
  <c r="X34" i="5"/>
  <c r="W48" i="5"/>
  <c r="W37" i="5"/>
  <c r="W111" i="5"/>
  <c r="X182" i="5"/>
  <c r="X110" i="5"/>
  <c r="Y140" i="5"/>
  <c r="W178" i="5"/>
  <c r="X178" i="5"/>
  <c r="Y84" i="5"/>
  <c r="W120" i="5"/>
  <c r="X188" i="5"/>
  <c r="J143" i="5"/>
  <c r="K139" i="5"/>
  <c r="J81" i="5"/>
  <c r="J121" i="5"/>
  <c r="L141" i="5"/>
  <c r="L245" i="5"/>
  <c r="J176" i="5"/>
  <c r="J127" i="5"/>
  <c r="L112" i="5"/>
  <c r="L158" i="5"/>
  <c r="K77" i="5"/>
  <c r="L76" i="5"/>
  <c r="L80" i="5"/>
  <c r="J126" i="5"/>
  <c r="J70" i="5"/>
  <c r="K186" i="5"/>
  <c r="J211" i="5"/>
  <c r="K235" i="5"/>
  <c r="L215" i="5"/>
  <c r="J182" i="5"/>
  <c r="L114" i="5"/>
  <c r="J85" i="5"/>
  <c r="L77" i="5"/>
  <c r="L46" i="5"/>
  <c r="K38" i="5"/>
  <c r="L73" i="5"/>
  <c r="L52" i="5"/>
  <c r="L241" i="5"/>
  <c r="J180" i="5"/>
  <c r="K115" i="5"/>
  <c r="L148" i="5"/>
  <c r="L104" i="5"/>
  <c r="J96" i="5"/>
  <c r="K114" i="5"/>
  <c r="K40" i="5"/>
  <c r="L70" i="5"/>
  <c r="J102" i="5"/>
  <c r="K176" i="5"/>
  <c r="J207" i="5"/>
  <c r="L247" i="5"/>
  <c r="J209" i="5"/>
  <c r="J170" i="5"/>
  <c r="L144" i="5"/>
  <c r="J117" i="5"/>
  <c r="K133" i="5"/>
  <c r="J112" i="5"/>
  <c r="J130" i="5"/>
  <c r="J36" i="5"/>
  <c r="J44" i="5"/>
  <c r="K95" i="5"/>
  <c r="K233" i="5"/>
  <c r="J230" i="5"/>
  <c r="L88" i="5"/>
  <c r="J242" i="5"/>
  <c r="L145" i="5"/>
  <c r="L31" i="5"/>
  <c r="J139" i="5"/>
  <c r="K86" i="5"/>
  <c r="L127" i="5"/>
  <c r="K188" i="5"/>
  <c r="L237" i="5"/>
  <c r="J168" i="5"/>
  <c r="K113" i="5"/>
  <c r="L96" i="5"/>
  <c r="J152" i="5"/>
  <c r="J71" i="5"/>
  <c r="J75" i="5"/>
  <c r="L69" i="5"/>
  <c r="J110" i="5"/>
  <c r="J66" i="5"/>
  <c r="K129" i="5"/>
  <c r="J203" i="5"/>
  <c r="J249" i="5"/>
  <c r="J213" i="5"/>
  <c r="J174" i="5"/>
  <c r="K84" i="5"/>
  <c r="L140" i="5"/>
  <c r="K66" i="5"/>
  <c r="L82" i="5"/>
  <c r="J80" i="5"/>
  <c r="J68" i="5"/>
  <c r="J50" i="5"/>
  <c r="L233" i="5"/>
  <c r="J172" i="5"/>
  <c r="J113" i="5"/>
  <c r="J146" i="5"/>
  <c r="K121" i="5"/>
  <c r="L91" i="5"/>
  <c r="J107" i="5"/>
  <c r="J37" i="5"/>
  <c r="L38" i="5"/>
  <c r="L74" i="5"/>
  <c r="L129" i="5"/>
  <c r="J199" i="5"/>
  <c r="J245" i="5"/>
  <c r="L203" i="5"/>
  <c r="L128" i="5"/>
  <c r="J141" i="5"/>
  <c r="L101" i="5"/>
  <c r="K130" i="5"/>
  <c r="K69" i="5"/>
  <c r="J106" i="5"/>
  <c r="L32" i="5"/>
  <c r="J32" i="5"/>
  <c r="J177" i="5"/>
  <c r="L250" i="5"/>
  <c r="K230" i="5"/>
  <c r="J59" i="5"/>
  <c r="J218" i="5"/>
  <c r="J200" i="5"/>
  <c r="K39" i="5"/>
  <c r="L208" i="5"/>
  <c r="L173" i="5"/>
  <c r="L218" i="5"/>
  <c r="L119" i="5"/>
  <c r="K205" i="5"/>
  <c r="L51" i="5"/>
  <c r="J183" i="5"/>
  <c r="K194" i="5"/>
  <c r="J210" i="5"/>
  <c r="K30" i="5"/>
  <c r="L149" i="5"/>
  <c r="K126" i="5"/>
  <c r="L220" i="5"/>
  <c r="K200" i="5"/>
  <c r="K94" i="5"/>
  <c r="L240" i="5"/>
  <c r="L231" i="5"/>
  <c r="J119" i="5"/>
  <c r="L151" i="5"/>
  <c r="K250" i="5"/>
  <c r="K152" i="5"/>
  <c r="K199" i="5"/>
  <c r="K72" i="5"/>
  <c r="L200" i="5"/>
  <c r="L94" i="5"/>
  <c r="L183" i="5"/>
  <c r="L134" i="5"/>
  <c r="K138" i="5"/>
  <c r="L142" i="5"/>
  <c r="K142" i="5"/>
  <c r="J86" i="5"/>
  <c r="K136" i="5"/>
  <c r="L192" i="5"/>
  <c r="L213" i="5"/>
  <c r="J229" i="5"/>
  <c r="L156" i="5"/>
  <c r="L117" i="5"/>
  <c r="J136" i="5"/>
  <c r="K42" i="5"/>
  <c r="K49" i="5"/>
  <c r="L68" i="5"/>
  <c r="J69" i="5"/>
  <c r="K174" i="5"/>
  <c r="J243" i="5"/>
  <c r="L184" i="5"/>
  <c r="L235" i="5"/>
  <c r="L199" i="5"/>
  <c r="K85" i="5"/>
  <c r="L109" i="5"/>
  <c r="K112" i="5"/>
  <c r="K33" i="5"/>
  <c r="K70" i="5"/>
  <c r="K45" i="5"/>
  <c r="J114" i="5"/>
  <c r="L227" i="5"/>
  <c r="L209" i="5"/>
  <c r="L186" i="5"/>
  <c r="K93" i="5"/>
  <c r="K116" i="5"/>
  <c r="K89" i="5"/>
  <c r="L100" i="5"/>
  <c r="J82" i="5"/>
  <c r="L42" i="5"/>
  <c r="K48" i="5"/>
  <c r="L48" i="5"/>
  <c r="J239" i="5"/>
  <c r="L172" i="5"/>
  <c r="J225" i="5"/>
  <c r="J193" i="5"/>
  <c r="L97" i="5"/>
  <c r="J100" i="5"/>
  <c r="L154" i="5"/>
  <c r="K91" i="5"/>
  <c r="L107" i="5"/>
  <c r="L56" i="5"/>
  <c r="L40" i="5"/>
  <c r="J35" i="5"/>
  <c r="L153" i="5"/>
  <c r="K225" i="5"/>
  <c r="K43" i="5"/>
  <c r="L187" i="5"/>
  <c r="K47" i="5"/>
  <c r="K123" i="5"/>
  <c r="J167" i="5"/>
  <c r="L230" i="5"/>
  <c r="J179" i="5"/>
  <c r="L47" i="5"/>
  <c r="L159" i="5"/>
  <c r="J232" i="5"/>
  <c r="K63" i="5"/>
  <c r="K214" i="5"/>
  <c r="L196" i="5"/>
  <c r="J155" i="5"/>
  <c r="L39" i="5"/>
  <c r="K236" i="5"/>
  <c r="J163" i="5"/>
  <c r="L67" i="5"/>
  <c r="J228" i="5"/>
  <c r="L181" i="5"/>
  <c r="L226" i="5"/>
  <c r="K198" i="5"/>
  <c r="L166" i="5"/>
  <c r="K146" i="5"/>
  <c r="K106" i="5"/>
  <c r="L147" i="5"/>
  <c r="L202" i="5"/>
  <c r="K169" i="5"/>
  <c r="K195" i="5"/>
  <c r="K132" i="5"/>
  <c r="J88" i="5"/>
  <c r="K143" i="5"/>
  <c r="J135" i="5"/>
  <c r="K135" i="5"/>
  <c r="J65" i="5"/>
  <c r="L130" i="5"/>
  <c r="K229" i="5"/>
  <c r="L146" i="5"/>
  <c r="K82" i="5"/>
  <c r="K96" i="5"/>
  <c r="J49" i="5"/>
  <c r="K36" i="5"/>
  <c r="K180" i="5"/>
  <c r="J195" i="5"/>
  <c r="L223" i="5"/>
  <c r="L105" i="5"/>
  <c r="K124" i="5"/>
  <c r="J115" i="5"/>
  <c r="K52" i="5"/>
  <c r="K46" i="5"/>
  <c r="L217" i="5"/>
  <c r="J187" i="5"/>
  <c r="K108" i="5"/>
  <c r="L84" i="5"/>
  <c r="J57" i="5"/>
  <c r="K61" i="5"/>
  <c r="K170" i="5"/>
  <c r="L125" i="5"/>
  <c r="J201" i="5"/>
  <c r="L160" i="5"/>
  <c r="J164" i="5"/>
  <c r="L37" i="5"/>
  <c r="L36" i="5"/>
  <c r="J52" i="5"/>
  <c r="K208" i="5"/>
  <c r="L78" i="5"/>
  <c r="L206" i="5"/>
  <c r="K181" i="5"/>
  <c r="K213" i="5"/>
  <c r="K179" i="5"/>
  <c r="K79" i="5"/>
  <c r="K157" i="5"/>
  <c r="K102" i="5"/>
  <c r="K223" i="5"/>
  <c r="L155" i="5"/>
  <c r="K187" i="5"/>
  <c r="J43" i="5"/>
  <c r="K202" i="5"/>
  <c r="L232" i="5"/>
  <c r="L175" i="5"/>
  <c r="K88" i="5"/>
  <c r="L35" i="5"/>
  <c r="J165" i="5"/>
  <c r="K173" i="5"/>
  <c r="L242" i="5"/>
  <c r="J145" i="5"/>
  <c r="L83" i="5"/>
  <c r="L210" i="5"/>
  <c r="K134" i="5"/>
  <c r="L58" i="5"/>
  <c r="L176" i="5"/>
  <c r="J150" i="5"/>
  <c r="J93" i="5"/>
  <c r="K182" i="5"/>
  <c r="J97" i="5"/>
  <c r="K71" i="5"/>
  <c r="K41" i="5"/>
  <c r="K247" i="5"/>
  <c r="J137" i="5"/>
  <c r="K60" i="5"/>
  <c r="L150" i="5"/>
  <c r="K193" i="5"/>
  <c r="L204" i="5"/>
  <c r="L236" i="5"/>
  <c r="K103" i="5"/>
  <c r="K99" i="5"/>
  <c r="J194" i="5"/>
  <c r="L92" i="5"/>
  <c r="J47" i="5"/>
  <c r="L214" i="5"/>
  <c r="L224" i="5"/>
  <c r="J171" i="5"/>
  <c r="K154" i="5"/>
  <c r="L190" i="5"/>
  <c r="J77" i="5"/>
  <c r="L122" i="5"/>
  <c r="L205" i="5"/>
  <c r="K191" i="5"/>
  <c r="J190" i="5"/>
  <c r="L71" i="5"/>
  <c r="K140" i="5"/>
  <c r="L229" i="5"/>
  <c r="L182" i="5"/>
  <c r="L121" i="5"/>
  <c r="L108" i="5"/>
  <c r="K32" i="5"/>
  <c r="J94" i="5"/>
  <c r="L248" i="5"/>
  <c r="L188" i="5"/>
  <c r="J221" i="5"/>
  <c r="L152" i="5"/>
  <c r="K137" i="5"/>
  <c r="J111" i="5"/>
  <c r="J45" i="5"/>
  <c r="L60" i="5"/>
  <c r="L201" i="5"/>
  <c r="K105" i="5"/>
  <c r="J87" i="5"/>
  <c r="L116" i="5"/>
  <c r="K57" i="5"/>
  <c r="J41" i="5"/>
  <c r="K249" i="5"/>
  <c r="K239" i="5"/>
  <c r="L195" i="5"/>
  <c r="J158" i="5"/>
  <c r="K127" i="5"/>
  <c r="L64" i="5"/>
  <c r="J34" i="5"/>
  <c r="J56" i="5"/>
  <c r="J224" i="5"/>
  <c r="K98" i="5"/>
  <c r="K218" i="5"/>
  <c r="L30" i="5"/>
  <c r="J250" i="5"/>
  <c r="L163" i="5"/>
  <c r="K62" i="5"/>
  <c r="K221" i="5"/>
  <c r="K56" i="5"/>
  <c r="J240" i="5"/>
  <c r="L212" i="5"/>
  <c r="K78" i="5"/>
  <c r="J55" i="5"/>
  <c r="J166" i="5"/>
  <c r="L238" i="5"/>
  <c r="K155" i="5"/>
  <c r="K160" i="5"/>
  <c r="J31" i="5"/>
  <c r="K165" i="5"/>
  <c r="K171" i="5"/>
  <c r="K204" i="5"/>
  <c r="K145" i="5"/>
  <c r="J63" i="5"/>
  <c r="K90" i="5"/>
  <c r="K120" i="5"/>
  <c r="L221" i="5"/>
  <c r="L174" i="5"/>
  <c r="K111" i="5"/>
  <c r="J103" i="5"/>
  <c r="K76" i="5"/>
  <c r="J192" i="5"/>
  <c r="L207" i="5"/>
  <c r="L132" i="5"/>
  <c r="L103" i="5"/>
  <c r="L193" i="5"/>
  <c r="L133" i="5"/>
  <c r="K37" i="5"/>
  <c r="J247" i="5"/>
  <c r="J189" i="5"/>
  <c r="K141" i="5"/>
  <c r="J48" i="5"/>
  <c r="L106" i="5"/>
  <c r="L123" i="5"/>
  <c r="J222" i="5"/>
  <c r="L216" i="5"/>
  <c r="K228" i="5"/>
  <c r="K59" i="5"/>
  <c r="J72" i="5"/>
  <c r="J39" i="5"/>
  <c r="J220" i="5"/>
  <c r="K131" i="5"/>
  <c r="J105" i="5"/>
  <c r="L139" i="5"/>
  <c r="L110" i="5"/>
  <c r="J248" i="5"/>
  <c r="J184" i="5"/>
  <c r="J154" i="5"/>
  <c r="J148" i="5"/>
  <c r="J84" i="5"/>
  <c r="K73" i="5"/>
  <c r="J74" i="5"/>
  <c r="J235" i="5"/>
  <c r="L243" i="5"/>
  <c r="K166" i="5"/>
  <c r="L111" i="5"/>
  <c r="K110" i="5"/>
  <c r="L65" i="5"/>
  <c r="L53" i="5"/>
  <c r="K237" i="5"/>
  <c r="K243" i="5"/>
  <c r="J162" i="5"/>
  <c r="J160" i="5"/>
  <c r="J99" i="5"/>
  <c r="L191" i="5"/>
  <c r="L197" i="5"/>
  <c r="J144" i="5"/>
  <c r="J53" i="5"/>
  <c r="J227" i="5"/>
  <c r="J128" i="5"/>
  <c r="K44" i="5"/>
  <c r="J122" i="5"/>
  <c r="L178" i="5"/>
  <c r="J140" i="5"/>
  <c r="L86" i="5"/>
  <c r="J231" i="5"/>
  <c r="J217" i="5"/>
  <c r="L87" i="5"/>
  <c r="L57" i="5"/>
  <c r="J40" i="5"/>
  <c r="K209" i="5"/>
  <c r="J147" i="5"/>
  <c r="K167" i="5"/>
  <c r="K158" i="5"/>
  <c r="J161" i="5"/>
  <c r="J181" i="5"/>
  <c r="K64" i="5"/>
  <c r="K151" i="5"/>
  <c r="J202" i="5"/>
  <c r="L102" i="5"/>
  <c r="J198" i="5"/>
  <c r="J153" i="5"/>
  <c r="K148" i="5"/>
  <c r="J79" i="5"/>
  <c r="J175" i="5"/>
  <c r="J138" i="5"/>
  <c r="L143" i="5"/>
  <c r="K190" i="5"/>
  <c r="L135" i="5"/>
  <c r="J125" i="5"/>
  <c r="J123" i="5"/>
  <c r="K53" i="5"/>
  <c r="J219" i="5"/>
  <c r="L189" i="5"/>
  <c r="J33" i="5"/>
  <c r="J98" i="5"/>
  <c r="L170" i="5"/>
  <c r="J132" i="5"/>
  <c r="L45" i="5"/>
  <c r="J223" i="5"/>
  <c r="L211" i="5"/>
  <c r="L137" i="5"/>
  <c r="L99" i="5"/>
  <c r="J42" i="5"/>
  <c r="K203" i="5"/>
  <c r="K163" i="5"/>
  <c r="J149" i="5"/>
  <c r="K222" i="5"/>
  <c r="K161" i="5"/>
  <c r="K183" i="5"/>
  <c r="K175" i="5"/>
  <c r="J208" i="5"/>
  <c r="J185" i="5"/>
  <c r="L63" i="5"/>
  <c r="K240" i="5"/>
  <c r="K153" i="5"/>
  <c r="K164" i="5"/>
  <c r="L185" i="5"/>
  <c r="K210" i="5"/>
  <c r="L138" i="5"/>
  <c r="K97" i="5"/>
  <c r="J92" i="5"/>
  <c r="K125" i="5"/>
  <c r="J76" i="5"/>
  <c r="L164" i="5"/>
  <c r="J118" i="5"/>
  <c r="J178" i="5"/>
  <c r="L41" i="5"/>
  <c r="J236" i="5"/>
  <c r="J169" i="5"/>
  <c r="J204" i="5"/>
  <c r="J214" i="5"/>
  <c r="K92" i="5"/>
  <c r="K234" i="5"/>
  <c r="K246" i="5"/>
  <c r="K241" i="5"/>
  <c r="J142" i="5"/>
  <c r="K128" i="5"/>
  <c r="J108" i="5"/>
  <c r="K81" i="5"/>
  <c r="J62" i="5"/>
  <c r="J241" i="5"/>
  <c r="L49" i="5"/>
  <c r="J89" i="5"/>
  <c r="L50" i="5"/>
  <c r="L115" i="5"/>
  <c r="L75" i="5"/>
  <c r="K54" i="5"/>
  <c r="K159" i="5"/>
  <c r="K220" i="5"/>
  <c r="K207" i="5"/>
  <c r="L171" i="5"/>
  <c r="L194" i="5"/>
  <c r="K80" i="5"/>
  <c r="K211" i="5"/>
  <c r="J244" i="5"/>
  <c r="K68" i="5"/>
  <c r="J90" i="5"/>
  <c r="J124" i="5"/>
  <c r="J95" i="5"/>
  <c r="L62" i="5"/>
  <c r="L168" i="5"/>
  <c r="K100" i="5"/>
  <c r="L81" i="5"/>
  <c r="K248" i="5"/>
  <c r="L85" i="5"/>
  <c r="L33" i="5"/>
  <c r="J61" i="5"/>
  <c r="J215" i="5"/>
  <c r="J186" i="5"/>
  <c r="L120" i="5"/>
  <c r="L61" i="5"/>
  <c r="J60" i="5"/>
  <c r="K219" i="5"/>
  <c r="L79" i="5"/>
  <c r="K149" i="5"/>
  <c r="K231" i="5"/>
  <c r="J157" i="5"/>
  <c r="K156" i="5"/>
  <c r="J234" i="5"/>
  <c r="K224" i="5"/>
  <c r="J159" i="5"/>
  <c r="K150" i="5"/>
  <c r="L234" i="5"/>
  <c r="K162" i="5"/>
  <c r="J206" i="5"/>
  <c r="K232" i="5"/>
  <c r="K119" i="5"/>
  <c r="J73" i="5"/>
  <c r="J78" i="5"/>
  <c r="K117" i="5"/>
  <c r="K168" i="5"/>
  <c r="K118" i="5"/>
  <c r="K189" i="5"/>
  <c r="L89" i="5"/>
  <c r="K31" i="5"/>
  <c r="K197" i="5"/>
  <c r="K201" i="5"/>
  <c r="K196" i="5"/>
  <c r="L161" i="5"/>
  <c r="L72" i="5"/>
  <c r="K206" i="5"/>
  <c r="L198" i="5"/>
  <c r="L162" i="5"/>
  <c r="L249" i="5"/>
  <c r="K34" i="5"/>
  <c r="L180" i="5"/>
  <c r="L136" i="5"/>
  <c r="L246" i="5"/>
  <c r="J246" i="5"/>
  <c r="K217" i="5"/>
  <c r="K227" i="5"/>
  <c r="L157" i="5"/>
  <c r="J212" i="5"/>
  <c r="K215" i="5"/>
  <c r="K242" i="5"/>
  <c r="K107" i="5"/>
  <c r="J134" i="5"/>
  <c r="K172" i="5"/>
  <c r="K87" i="5"/>
  <c r="K65" i="5"/>
  <c r="J54" i="5"/>
  <c r="J233" i="5"/>
  <c r="J156" i="5"/>
  <c r="L66" i="5"/>
  <c r="L225" i="5"/>
  <c r="K122" i="5"/>
  <c r="K75" i="5"/>
  <c r="J58" i="5"/>
  <c r="L239" i="5"/>
  <c r="L113" i="5"/>
  <c r="L124" i="5"/>
  <c r="L54" i="5"/>
  <c r="J151" i="5"/>
  <c r="K55" i="5"/>
  <c r="K216" i="5"/>
  <c r="L43" i="5"/>
  <c r="J67" i="5"/>
  <c r="L228" i="5"/>
  <c r="J226" i="5"/>
  <c r="K244" i="5"/>
  <c r="K147" i="5"/>
  <c r="J216" i="5"/>
  <c r="J196" i="5"/>
  <c r="J30" i="5"/>
  <c r="L59" i="5"/>
  <c r="J131" i="5"/>
  <c r="J238" i="5"/>
  <c r="K178" i="5"/>
  <c r="J109" i="5"/>
  <c r="L34" i="5"/>
  <c r="J129" i="5"/>
  <c r="J205" i="5"/>
  <c r="K104" i="5"/>
  <c r="L95" i="5"/>
  <c r="J188" i="5"/>
  <c r="K109" i="5"/>
  <c r="J116" i="5"/>
  <c r="J46" i="5"/>
  <c r="J237" i="5"/>
  <c r="L93" i="5"/>
  <c r="J104" i="5"/>
  <c r="L44" i="5"/>
  <c r="L167" i="5"/>
  <c r="J173" i="5"/>
  <c r="K51" i="5"/>
  <c r="L98" i="5"/>
  <c r="L169" i="5"/>
  <c r="K238" i="5"/>
  <c r="K226" i="5"/>
  <c r="K35" i="5"/>
  <c r="L222" i="5"/>
  <c r="J51" i="5"/>
  <c r="K212" i="5"/>
  <c r="L131" i="5"/>
  <c r="L126" i="5"/>
  <c r="K67" i="5"/>
  <c r="K83" i="5"/>
  <c r="J191" i="5"/>
  <c r="K184" i="5"/>
  <c r="K101" i="5"/>
  <c r="J64" i="5"/>
  <c r="K245" i="5"/>
  <c r="J197" i="5"/>
  <c r="J91" i="5"/>
  <c r="K50" i="5"/>
  <c r="J120" i="5"/>
  <c r="J101" i="5"/>
  <c r="L90" i="5"/>
  <c r="K192" i="5"/>
  <c r="L219" i="5"/>
  <c r="J133" i="5"/>
  <c r="L118" i="5"/>
  <c r="J38" i="5"/>
  <c r="L165" i="5"/>
  <c r="L179" i="5"/>
  <c r="L177" i="5"/>
  <c r="L55" i="5"/>
  <c r="K185" i="5"/>
  <c r="K74" i="5"/>
  <c r="L244" i="5"/>
  <c r="K58" i="5"/>
  <c r="J83" i="5"/>
  <c r="K177" i="5"/>
  <c r="K144" i="5"/>
  <c r="B5" i="5" l="1"/>
  <c r="E18" i="5"/>
  <c r="E19" i="5" s="1"/>
  <c r="E17" i="5"/>
  <c r="B7" i="5" l="1"/>
  <c r="B6" i="5"/>
</calcChain>
</file>

<file path=xl/sharedStrings.xml><?xml version="1.0" encoding="utf-8"?>
<sst xmlns="http://schemas.openxmlformats.org/spreadsheetml/2006/main" count="270" uniqueCount="214">
  <si>
    <t>Enter your data in the columns below, and then click the "Calculate</t>
  </si>
  <si>
    <t>Sample Identity:</t>
  </si>
  <si>
    <t>Analyst:</t>
  </si>
  <si>
    <t>Date:</t>
  </si>
  <si>
    <t>Auto. add</t>
  </si>
  <si>
    <t>Initial Sample Weight:</t>
  </si>
  <si>
    <t>(optional)</t>
  </si>
  <si>
    <t>at:</t>
  </si>
  <si>
    <t>(mm)</t>
  </si>
  <si>
    <t xml:space="preserve">SAMPLE TYPE: </t>
  </si>
  <si>
    <t>f</t>
  </si>
  <si>
    <t>MODE 1:</t>
  </si>
  <si>
    <t>GRAVEL:</t>
  </si>
  <si>
    <t>MODE 2:</t>
  </si>
  <si>
    <t>SAND:</t>
  </si>
  <si>
    <t>MODE 3:</t>
  </si>
  <si>
    <t>MUD:</t>
  </si>
  <si>
    <t>METHOD OF</t>
  </si>
  <si>
    <t>COARSE SAND:</t>
  </si>
  <si>
    <t>MEDIUM SAND:</t>
  </si>
  <si>
    <t>FINE SAND:</t>
  </si>
  <si>
    <t>GRADISTAT</t>
  </si>
  <si>
    <t>A Grain Size Distribution and Statistics Package for the Analysis of</t>
  </si>
  <si>
    <t>Unconsolidated Sediments by Sieving or Laser Granulometer</t>
  </si>
  <si>
    <t>Instructions on the Use of the GRADISTAT Program</t>
  </si>
  <si>
    <t>Mode</t>
  </si>
  <si>
    <t>FirstMode</t>
  </si>
  <si>
    <t>SecondMode</t>
  </si>
  <si>
    <t>ThirdMode</t>
  </si>
  <si>
    <t>Mean:</t>
  </si>
  <si>
    <t>Std. Dev.</t>
  </si>
  <si>
    <t>ClassMode1</t>
  </si>
  <si>
    <t>ClassMode2</t>
  </si>
  <si>
    <t>ClassMode3</t>
  </si>
  <si>
    <t>Classmode4</t>
  </si>
  <si>
    <t>ClassMode5</t>
  </si>
  <si>
    <t>Skewness</t>
  </si>
  <si>
    <t>Kurtosis</t>
  </si>
  <si>
    <t>Sum of Sieve Classes</t>
  </si>
  <si>
    <t>Sum of Proportion Classes</t>
  </si>
  <si>
    <t>Mean (mm)</t>
  </si>
  <si>
    <t>Std. Dev. (mm)</t>
  </si>
  <si>
    <t>Skewness (mm)</t>
  </si>
  <si>
    <t>Kurtosis (mm)</t>
  </si>
  <si>
    <t>Kurtosis (mm) - 3</t>
  </si>
  <si>
    <t>STATISTICS BY METHOD OF MOMENTS</t>
  </si>
  <si>
    <t>APERTURE</t>
  </si>
  <si>
    <t>CUM. MASS</t>
  </si>
  <si>
    <t>CLASS</t>
  </si>
  <si>
    <t>NORMALISED</t>
  </si>
  <si>
    <t>(metric)</t>
  </si>
  <si>
    <t>(PHI Scale)</t>
  </si>
  <si>
    <t xml:space="preserve"> RETAINED</t>
  </si>
  <si>
    <t>WEIGHT</t>
  </si>
  <si>
    <t>CLASS WEIGHT</t>
  </si>
  <si>
    <t>(PHI)</t>
  </si>
  <si>
    <t>(%)</t>
  </si>
  <si>
    <t>(g)</t>
  </si>
  <si>
    <t>(no units)</t>
  </si>
  <si>
    <t>Multiple Sample Data Input Screen</t>
  </si>
  <si>
    <t>SAMPLE STATISTICS</t>
  </si>
  <si>
    <t>FOLK AND</t>
  </si>
  <si>
    <t>WARD METHOD</t>
  </si>
  <si>
    <t>Single Sample Data Input Screen</t>
  </si>
  <si>
    <t>Class Weight Retained (g or %) in Different Samples</t>
  </si>
  <si>
    <t>Print</t>
  </si>
  <si>
    <t>Enter your data in the columns below, and then click the</t>
  </si>
  <si>
    <t>"Calculate Statistics" button.  Enter Sample Info in the green cells.</t>
  </si>
  <si>
    <t xml:space="preserve">Class Weight </t>
  </si>
  <si>
    <t>Retained (g or %)</t>
  </si>
  <si>
    <t>Statistics" button.  See the "Information" sheet for more information.</t>
  </si>
  <si>
    <t>V COARSE GRAVEL:</t>
  </si>
  <si>
    <t>COARSE GRAVEL:</t>
  </si>
  <si>
    <t>V COARSE SILT:</t>
  </si>
  <si>
    <t>COARSE SILT:</t>
  </si>
  <si>
    <t>V FINE SAND:</t>
  </si>
  <si>
    <t>ANALYST AND DATE:</t>
  </si>
  <si>
    <t>SAMPLE IDENTITY:</t>
  </si>
  <si>
    <t>SAMPLE TYPE:</t>
  </si>
  <si>
    <t>TEXTURAL GROUP:</t>
  </si>
  <si>
    <t>SEDIMENT NAME:</t>
  </si>
  <si>
    <t xml:space="preserve">TEXTURAL GROUP: </t>
  </si>
  <si>
    <t xml:space="preserve">SEDIMENT NAME: </t>
  </si>
  <si>
    <r>
      <t>MODE 1 (</t>
    </r>
    <r>
      <rPr>
        <sz val="10"/>
        <rFont val="Symbol"/>
        <family val="1"/>
        <charset val="2"/>
      </rPr>
      <t>f</t>
    </r>
    <r>
      <rPr>
        <sz val="10"/>
        <rFont val="Arial"/>
        <family val="2"/>
      </rPr>
      <t>):</t>
    </r>
  </si>
  <si>
    <r>
      <t>MODE 2 (</t>
    </r>
    <r>
      <rPr>
        <sz val="10"/>
        <rFont val="Symbol"/>
        <family val="1"/>
        <charset val="2"/>
      </rPr>
      <t>f</t>
    </r>
    <r>
      <rPr>
        <sz val="10"/>
        <rFont val="Arial"/>
        <family val="2"/>
      </rPr>
      <t>):</t>
    </r>
  </si>
  <si>
    <r>
      <t>MODE 3 (</t>
    </r>
    <r>
      <rPr>
        <sz val="10"/>
        <rFont val="Symbol"/>
        <family val="1"/>
        <charset val="2"/>
      </rPr>
      <t>f</t>
    </r>
    <r>
      <rPr>
        <sz val="10"/>
        <rFont val="Arial"/>
        <family val="2"/>
      </rPr>
      <t>):</t>
    </r>
  </si>
  <si>
    <r>
      <t>D</t>
    </r>
    <r>
      <rPr>
        <vertAlign val="subscript"/>
        <sz val="10"/>
        <rFont val="Arial"/>
        <family val="2"/>
      </rPr>
      <t>10</t>
    </r>
    <r>
      <rPr>
        <sz val="10"/>
        <rFont val="Arial"/>
        <family val="2"/>
      </rPr>
      <t xml:space="preserve"> (</t>
    </r>
    <r>
      <rPr>
        <sz val="10"/>
        <rFont val="Symbol"/>
        <family val="1"/>
        <charset val="2"/>
      </rPr>
      <t>f</t>
    </r>
    <r>
      <rPr>
        <sz val="10"/>
        <rFont val="Arial"/>
        <family val="2"/>
      </rPr>
      <t>):</t>
    </r>
  </si>
  <si>
    <r>
      <t>D</t>
    </r>
    <r>
      <rPr>
        <vertAlign val="subscript"/>
        <sz val="10"/>
        <rFont val="Arial"/>
        <family val="2"/>
      </rPr>
      <t>50</t>
    </r>
    <r>
      <rPr>
        <sz val="10"/>
        <rFont val="Arial"/>
        <family val="2"/>
      </rPr>
      <t xml:space="preserve"> (</t>
    </r>
    <r>
      <rPr>
        <sz val="10"/>
        <rFont val="Symbol"/>
        <family val="1"/>
        <charset val="2"/>
      </rPr>
      <t>f</t>
    </r>
    <r>
      <rPr>
        <sz val="10"/>
        <rFont val="Arial"/>
        <family val="2"/>
      </rPr>
      <t>):</t>
    </r>
  </si>
  <si>
    <r>
      <t>D</t>
    </r>
    <r>
      <rPr>
        <vertAlign val="subscript"/>
        <sz val="10"/>
        <rFont val="Arial"/>
        <family val="2"/>
      </rPr>
      <t>90</t>
    </r>
    <r>
      <rPr>
        <sz val="10"/>
        <rFont val="Arial"/>
        <family val="2"/>
      </rPr>
      <t xml:space="preserve"> (</t>
    </r>
    <r>
      <rPr>
        <sz val="10"/>
        <rFont val="Symbol"/>
        <family val="1"/>
        <charset val="2"/>
      </rPr>
      <t>f</t>
    </r>
    <r>
      <rPr>
        <sz val="10"/>
        <rFont val="Arial"/>
        <family val="2"/>
      </rPr>
      <t>):</t>
    </r>
  </si>
  <si>
    <t>% GRAVEL:</t>
  </si>
  <si>
    <t>% SAND:</t>
  </si>
  <si>
    <t>% MUD:</t>
  </si>
  <si>
    <t>% V COARSE GRAVEL:</t>
  </si>
  <si>
    <t>% COARSE GRAVEL:</t>
  </si>
  <si>
    <t>% MEDIUM GRAVEL:</t>
  </si>
  <si>
    <t>% FINE GRAVEL:</t>
  </si>
  <si>
    <t>% V FINE GRAVEL:</t>
  </si>
  <si>
    <t>% V COARSE SAND:</t>
  </si>
  <si>
    <t>% COARSE SAND:</t>
  </si>
  <si>
    <t>% MEDIUM SAND:</t>
  </si>
  <si>
    <t>% FINE SAND:</t>
  </si>
  <si>
    <t>% V FINE SAND:</t>
  </si>
  <si>
    <t>% V COARSE SILT:</t>
  </si>
  <si>
    <t>% COARSE SILT:</t>
  </si>
  <si>
    <t>% MEDIUM SILT:</t>
  </si>
  <si>
    <t>% FINE SILT:</t>
  </si>
  <si>
    <t>% V FINE SILT:</t>
  </si>
  <si>
    <t>% CLAY:</t>
  </si>
  <si>
    <r>
      <t>MEAN</t>
    </r>
    <r>
      <rPr>
        <sz val="10"/>
        <rFont val="Arial"/>
        <family val="2"/>
      </rPr>
      <t>:</t>
    </r>
  </si>
  <si>
    <r>
      <t>(</t>
    </r>
    <r>
      <rPr>
        <sz val="10"/>
        <rFont val="Symbol"/>
        <family val="1"/>
        <charset val="2"/>
      </rPr>
      <t>f</t>
    </r>
    <r>
      <rPr>
        <sz val="10"/>
        <rFont val="Arial"/>
        <family val="2"/>
      </rPr>
      <t>)</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</si>
  <si>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0"/>
        <rFont val="Symbol"/>
        <family val="1"/>
        <charset val="2"/>
      </rPr>
      <t>f</t>
    </r>
    <r>
      <rPr>
        <sz val="10"/>
        <rFont val="Arial"/>
        <family val="2"/>
      </rPr>
      <t>):</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</si>
  <si>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0"/>
        <rFont val="Symbol"/>
        <family val="1"/>
        <charset val="2"/>
      </rPr>
      <t>f</t>
    </r>
    <r>
      <rPr>
        <sz val="10"/>
        <rFont val="Arial"/>
        <family val="2"/>
      </rPr>
      <t>):</t>
    </r>
  </si>
  <si>
    <t>(Description)</t>
  </si>
  <si>
    <t>Description</t>
  </si>
  <si>
    <t>Please wait while the</t>
  </si>
  <si>
    <t>Samples remaining:</t>
  </si>
  <si>
    <t>statistics are calculated</t>
  </si>
  <si>
    <t>Date</t>
  </si>
  <si>
    <t>Method of Moments - Logarithmic</t>
  </si>
  <si>
    <t>Method of Moments - Arithmetic</t>
  </si>
  <si>
    <t>Logarithmic</t>
  </si>
  <si>
    <t>LOGARITHMIC</t>
  </si>
  <si>
    <t>MID-POINT (m)</t>
  </si>
  <si>
    <t>WEIGHT (f)</t>
  </si>
  <si>
    <t>fm</t>
  </si>
  <si>
    <r>
      <t>f(m-M)</t>
    </r>
    <r>
      <rPr>
        <vertAlign val="superscript"/>
        <sz val="10"/>
        <rFont val="Arial"/>
        <family val="2"/>
      </rPr>
      <t>2</t>
    </r>
  </si>
  <si>
    <r>
      <t>f(m-M)</t>
    </r>
    <r>
      <rPr>
        <vertAlign val="superscript"/>
        <sz val="10"/>
        <rFont val="Arial"/>
        <family val="2"/>
      </rPr>
      <t>4</t>
    </r>
  </si>
  <si>
    <r>
      <t>f(m-M)</t>
    </r>
    <r>
      <rPr>
        <vertAlign val="superscript"/>
        <sz val="10"/>
        <rFont val="Arial"/>
        <family val="2"/>
      </rPr>
      <t>3</t>
    </r>
  </si>
  <si>
    <t>ARITHMETIC</t>
  </si>
  <si>
    <t>log m</t>
  </si>
  <si>
    <t>f log m</t>
  </si>
  <si>
    <t>Method of Moments - Geometric</t>
  </si>
  <si>
    <t>FOLK &amp; WARD METHOD</t>
  </si>
  <si>
    <t>Arithmetic</t>
  </si>
  <si>
    <t>Geometric</t>
  </si>
  <si>
    <t>Mean (um)</t>
  </si>
  <si>
    <t>Std. Dev. (um)</t>
  </si>
  <si>
    <t>Skewness (um)</t>
  </si>
  <si>
    <t>Kurtosis (um)</t>
  </si>
  <si>
    <t>Kurtosis (um) - 3</t>
  </si>
  <si>
    <t>MOMENTS</t>
  </si>
  <si>
    <r>
      <t>Logarithmic (</t>
    </r>
    <r>
      <rPr>
        <sz val="10"/>
        <rFont val="Symbol"/>
        <family val="1"/>
        <charset val="2"/>
      </rPr>
      <t>f</t>
    </r>
    <r>
      <rPr>
        <sz val="10"/>
        <rFont val="Arial"/>
        <family val="2"/>
      </rPr>
      <t>)</t>
    </r>
  </si>
  <si>
    <t>GEOMETIC</t>
  </si>
  <si>
    <r>
      <t>f(logm-logM)</t>
    </r>
    <r>
      <rPr>
        <vertAlign val="superscript"/>
        <sz val="10"/>
        <rFont val="Arial"/>
        <family val="2"/>
      </rPr>
      <t>2</t>
    </r>
  </si>
  <si>
    <r>
      <t>f(logm-logM)</t>
    </r>
    <r>
      <rPr>
        <vertAlign val="superscript"/>
        <sz val="10"/>
        <rFont val="Arial"/>
        <family val="2"/>
      </rPr>
      <t>3</t>
    </r>
  </si>
  <si>
    <r>
      <t>f(logm-logM)</t>
    </r>
    <r>
      <rPr>
        <vertAlign val="superscript"/>
        <sz val="10"/>
        <rFont val="Arial"/>
        <family val="2"/>
      </rPr>
      <t>4</t>
    </r>
  </si>
  <si>
    <t>MEAN      :</t>
  </si>
  <si>
    <t>(microns)</t>
  </si>
  <si>
    <r>
      <t>(</t>
    </r>
    <r>
      <rPr>
        <sz val="10"/>
        <rFont val="Symbol"/>
        <family val="1"/>
        <charset val="2"/>
      </rPr>
      <t>m</t>
    </r>
    <r>
      <rPr>
        <sz val="10"/>
        <rFont val="Arial"/>
        <family val="2"/>
      </rPr>
      <t>m)</t>
    </r>
  </si>
  <si>
    <t>Texure</t>
  </si>
  <si>
    <r>
      <t>Arithmetic (</t>
    </r>
    <r>
      <rPr>
        <sz val="11"/>
        <rFont val="Symbol"/>
        <family val="1"/>
        <charset val="2"/>
      </rPr>
      <t>m</t>
    </r>
    <r>
      <rPr>
        <sz val="10"/>
        <rFont val="Arial"/>
        <family val="2"/>
      </rPr>
      <t>m)</t>
    </r>
  </si>
  <si>
    <r>
      <t>Geometric (</t>
    </r>
    <r>
      <rPr>
        <sz val="11"/>
        <rFont val="Symbol"/>
        <family val="1"/>
        <charset val="2"/>
      </rPr>
      <t>m</t>
    </r>
    <r>
      <rPr>
        <sz val="10"/>
        <rFont val="Arial"/>
        <family val="2"/>
      </rPr>
      <t>m)</t>
    </r>
  </si>
  <si>
    <r>
      <t>SORTING</t>
    </r>
    <r>
      <rPr>
        <sz val="10"/>
        <rFont val="Arial"/>
        <family val="2"/>
      </rPr>
      <t>:</t>
    </r>
  </si>
  <si>
    <r>
      <t>SKEWNESS</t>
    </r>
    <r>
      <rPr>
        <sz val="10"/>
        <rFont val="Arial"/>
        <family val="2"/>
      </rPr>
      <t>:</t>
    </r>
  </si>
  <si>
    <r>
      <t>KURTOSIS</t>
    </r>
    <r>
      <rPr>
        <sz val="10"/>
        <rFont val="Arial"/>
        <family val="2"/>
      </rPr>
      <t>:</t>
    </r>
  </si>
  <si>
    <r>
      <t>MODE 1 (</t>
    </r>
    <r>
      <rPr>
        <sz val="11"/>
        <rFont val="Symbol"/>
        <family val="1"/>
        <charset val="2"/>
      </rPr>
      <t>m</t>
    </r>
    <r>
      <rPr>
        <sz val="10"/>
        <rFont val="Arial"/>
        <family val="2"/>
      </rPr>
      <t>m):</t>
    </r>
  </si>
  <si>
    <r>
      <t>MODE 2 (</t>
    </r>
    <r>
      <rPr>
        <sz val="11"/>
        <rFont val="Symbol"/>
        <family val="1"/>
        <charset val="2"/>
      </rPr>
      <t>m</t>
    </r>
    <r>
      <rPr>
        <sz val="10"/>
        <rFont val="Arial"/>
        <family val="2"/>
      </rPr>
      <t>m):</t>
    </r>
  </si>
  <si>
    <r>
      <t>MODE 3 (</t>
    </r>
    <r>
      <rPr>
        <sz val="11"/>
        <rFont val="Symbol"/>
        <family val="1"/>
        <charset val="2"/>
      </rPr>
      <t>m</t>
    </r>
    <r>
      <rPr>
        <sz val="10"/>
        <rFont val="Arial"/>
        <family val="2"/>
      </rPr>
      <t>m):</t>
    </r>
  </si>
  <si>
    <r>
      <t>D</t>
    </r>
    <r>
      <rPr>
        <vertAlign val="subscript"/>
        <sz val="10"/>
        <rFont val="Arial"/>
        <family val="2"/>
      </rPr>
      <t>10</t>
    </r>
    <r>
      <rPr>
        <sz val="10"/>
        <rFont val="Arial"/>
        <family val="2"/>
      </rPr>
      <t xml:space="preserve"> (</t>
    </r>
    <r>
      <rPr>
        <sz val="11"/>
        <rFont val="Symbol"/>
        <family val="1"/>
        <charset val="2"/>
      </rPr>
      <t>m</t>
    </r>
    <r>
      <rPr>
        <sz val="10"/>
        <rFont val="Arial"/>
        <family val="2"/>
      </rPr>
      <t>m):</t>
    </r>
  </si>
  <si>
    <r>
      <t>D</t>
    </r>
    <r>
      <rPr>
        <vertAlign val="subscript"/>
        <sz val="10"/>
        <rFont val="Arial"/>
        <family val="2"/>
      </rPr>
      <t>50</t>
    </r>
    <r>
      <rPr>
        <sz val="10"/>
        <rFont val="Arial"/>
        <family val="2"/>
      </rPr>
      <t xml:space="preserve"> (</t>
    </r>
    <r>
      <rPr>
        <sz val="11"/>
        <rFont val="Symbol"/>
        <family val="1"/>
        <charset val="2"/>
      </rPr>
      <t>m</t>
    </r>
    <r>
      <rPr>
        <sz val="10"/>
        <rFont val="Arial"/>
        <family val="2"/>
      </rPr>
      <t>m):</t>
    </r>
  </si>
  <si>
    <r>
      <t>D</t>
    </r>
    <r>
      <rPr>
        <vertAlign val="subscript"/>
        <sz val="10"/>
        <rFont val="Arial"/>
        <family val="2"/>
      </rPr>
      <t>90</t>
    </r>
    <r>
      <rPr>
        <sz val="10"/>
        <rFont val="Arial"/>
        <family val="2"/>
      </rPr>
      <t xml:space="preserve"> (</t>
    </r>
    <r>
      <rPr>
        <sz val="11"/>
        <rFont val="Symbol"/>
        <family val="1"/>
        <charset val="2"/>
      </rPr>
      <t>m</t>
    </r>
    <r>
      <rPr>
        <sz val="10"/>
        <rFont val="Arial"/>
        <family val="2"/>
      </rPr>
      <t>m):</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</si>
  <si>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1"/>
        <rFont val="Symbol"/>
        <family val="1"/>
        <charset val="2"/>
      </rPr>
      <t>m</t>
    </r>
    <r>
      <rPr>
        <sz val="10"/>
        <rFont val="Arial"/>
        <family val="2"/>
      </rPr>
      <t>m):</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</si>
  <si>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1"/>
        <rFont val="Symbol"/>
        <family val="1"/>
        <charset val="2"/>
      </rPr>
      <t>m</t>
    </r>
    <r>
      <rPr>
        <sz val="10"/>
        <rFont val="Arial"/>
        <family val="2"/>
      </rPr>
      <t>m):</t>
    </r>
  </si>
  <si>
    <t>SORTING</t>
  </si>
  <si>
    <t>MEAN</t>
  </si>
  <si>
    <t>SKEWNESS</t>
  </si>
  <si>
    <t>KURTOSIS</t>
  </si>
  <si>
    <r>
      <t>D</t>
    </r>
    <r>
      <rPr>
        <vertAlign val="subscript"/>
        <sz val="10"/>
        <rFont val="Arial"/>
        <family val="2"/>
      </rPr>
      <t>10</t>
    </r>
    <r>
      <rPr>
        <sz val="10"/>
        <rFont val="Arial"/>
        <family val="2"/>
      </rPr>
      <t>:</t>
    </r>
  </si>
  <si>
    <r>
      <t>MEDIAN or D</t>
    </r>
    <r>
      <rPr>
        <vertAlign val="subscript"/>
        <sz val="10"/>
        <rFont val="Arial"/>
        <family val="2"/>
      </rPr>
      <t>50</t>
    </r>
    <r>
      <rPr>
        <sz val="10"/>
        <rFont val="Arial"/>
        <family val="2"/>
      </rPr>
      <t>:</t>
    </r>
  </si>
  <si>
    <r>
      <t>D</t>
    </r>
    <r>
      <rPr>
        <vertAlign val="subscript"/>
        <sz val="10"/>
        <rFont val="Arial"/>
        <family val="2"/>
      </rPr>
      <t>90</t>
    </r>
    <r>
      <rPr>
        <sz val="10"/>
        <rFont val="Arial"/>
        <family val="2"/>
      </rPr>
      <t>:</t>
    </r>
  </si>
  <si>
    <r>
      <t>(D</t>
    </r>
    <r>
      <rPr>
        <vertAlign val="subscript"/>
        <sz val="10"/>
        <rFont val="Arial"/>
        <family val="2"/>
      </rPr>
      <t>90</t>
    </r>
    <r>
      <rPr>
        <sz val="10"/>
        <rFont val="Arial"/>
        <family val="2"/>
      </rPr>
      <t xml:space="preserve"> / </t>
    </r>
    <r>
      <rPr>
        <sz val="10"/>
        <rFont val="Arial"/>
        <family val="2"/>
      </rPr>
      <t>D</t>
    </r>
    <r>
      <rPr>
        <vertAlign val="subscript"/>
        <sz val="10"/>
        <rFont val="Arial"/>
        <family val="2"/>
      </rPr>
      <t>10</t>
    </r>
    <r>
      <rPr>
        <sz val="10"/>
        <rFont val="Arial"/>
        <family val="2"/>
      </rPr>
      <t>)</t>
    </r>
    <r>
      <rPr>
        <sz val="10"/>
        <rFont val="Arial"/>
        <family val="2"/>
      </rPr>
      <t>:</t>
    </r>
  </si>
  <si>
    <r>
      <t>(D</t>
    </r>
    <r>
      <rPr>
        <vertAlign val="subscript"/>
        <sz val="10"/>
        <rFont val="Arial"/>
        <family val="2"/>
      </rPr>
      <t>90</t>
    </r>
    <r>
      <rPr>
        <sz val="10"/>
        <rFont val="Arial"/>
        <family val="2"/>
      </rPr>
      <t xml:space="preserve"> - </t>
    </r>
    <r>
      <rPr>
        <sz val="10"/>
        <rFont val="Arial"/>
        <family val="2"/>
      </rPr>
      <t>D</t>
    </r>
    <r>
      <rPr>
        <vertAlign val="subscript"/>
        <sz val="10"/>
        <rFont val="Arial"/>
        <family val="2"/>
      </rPr>
      <t>10</t>
    </r>
    <r>
      <rPr>
        <sz val="10"/>
        <rFont val="Arial"/>
        <family val="2"/>
      </rPr>
      <t>)</t>
    </r>
    <r>
      <rPr>
        <sz val="10"/>
        <rFont val="Arial"/>
        <family val="2"/>
      </rPr>
      <t>:</t>
    </r>
  </si>
  <si>
    <r>
      <t>m</t>
    </r>
    <r>
      <rPr>
        <sz val="10"/>
        <rFont val="Arial"/>
        <family val="2"/>
      </rPr>
      <t>m</t>
    </r>
  </si>
  <si>
    <r>
      <t>SORTING (</t>
    </r>
    <r>
      <rPr>
        <sz val="10"/>
        <rFont val="Symbol"/>
        <family val="1"/>
        <charset val="2"/>
      </rPr>
      <t>s</t>
    </r>
    <r>
      <rPr>
        <sz val="10"/>
        <rFont val="Arial"/>
        <family val="2"/>
      </rPr>
      <t>):</t>
    </r>
  </si>
  <si>
    <r>
      <t>SKEWNESS (</t>
    </r>
    <r>
      <rPr>
        <i/>
        <sz val="10"/>
        <rFont val="Times New Roman"/>
        <family val="1"/>
      </rPr>
      <t>Sk</t>
    </r>
    <r>
      <rPr>
        <sz val="10"/>
        <rFont val="Arial"/>
        <family val="2"/>
      </rPr>
      <t>):</t>
    </r>
  </si>
  <si>
    <r>
      <t>KURTOSIS (</t>
    </r>
    <r>
      <rPr>
        <i/>
        <sz val="10"/>
        <rFont val="Times New Roman"/>
        <family val="1"/>
      </rPr>
      <t>K</t>
    </r>
    <r>
      <rPr>
        <sz val="10"/>
        <rFont val="Arial"/>
        <family val="2"/>
      </rPr>
      <t>):</t>
    </r>
  </si>
  <si>
    <t>Maximum Frequency</t>
  </si>
  <si>
    <t>METHOD OF MOMENTS</t>
  </si>
  <si>
    <r>
      <t>m</t>
    </r>
    <r>
      <rPr>
        <sz val="10"/>
        <rFont val="Arial"/>
        <family val="2"/>
      </rPr>
      <t>m</t>
    </r>
  </si>
  <si>
    <t>MEDIUM GRAVEL:</t>
  </si>
  <si>
    <t>FINE GRAVEL:</t>
  </si>
  <si>
    <t>V FINE GRAVEL:</t>
  </si>
  <si>
    <t>V COARSE SAND:</t>
  </si>
  <si>
    <t>MEDIUM SILT:</t>
  </si>
  <si>
    <t>FINE SILT:</t>
  </si>
  <si>
    <t>V FINE SILT:</t>
  </si>
  <si>
    <t>CLAY:</t>
  </si>
  <si>
    <t xml:space="preserve">GRAIN SIZE DISTRIBUTION        </t>
  </si>
  <si>
    <r>
      <t>(</t>
    </r>
    <r>
      <rPr>
        <sz val="11"/>
        <rFont val="Symbol"/>
        <family val="1"/>
        <charset val="2"/>
      </rPr>
      <t>m</t>
    </r>
    <r>
      <rPr>
        <sz val="10"/>
        <rFont val="Arial"/>
        <family val="2"/>
      </rPr>
      <t>m)</t>
    </r>
  </si>
  <si>
    <t/>
  </si>
  <si>
    <t>Shape</t>
  </si>
  <si>
    <t>Line</t>
  </si>
  <si>
    <r>
      <t>(D</t>
    </r>
    <r>
      <rPr>
        <vertAlign val="subscript"/>
        <sz val="10"/>
        <rFont val="Arial"/>
        <family val="2"/>
      </rPr>
      <t>75</t>
    </r>
    <r>
      <rPr>
        <sz val="10"/>
        <rFont val="Arial"/>
        <family val="2"/>
      </rPr>
      <t xml:space="preserve"> - </t>
    </r>
    <r>
      <rPr>
        <sz val="10"/>
        <rFont val="Arial"/>
        <family val="2"/>
      </rPr>
      <t>D</t>
    </r>
    <r>
      <rPr>
        <vertAlign val="subscript"/>
        <sz val="10"/>
        <rFont val="Arial"/>
        <family val="2"/>
      </rPr>
      <t>25</t>
    </r>
    <r>
      <rPr>
        <sz val="10"/>
        <rFont val="Arial"/>
        <family val="2"/>
      </rPr>
      <t>)</t>
    </r>
    <r>
      <rPr>
        <sz val="10"/>
        <rFont val="Arial"/>
        <family val="2"/>
      </rPr>
      <t>:</t>
    </r>
  </si>
  <si>
    <r>
      <t>(D</t>
    </r>
    <r>
      <rPr>
        <vertAlign val="subscript"/>
        <sz val="10"/>
        <rFont val="Arial"/>
        <family val="2"/>
      </rPr>
      <t>75</t>
    </r>
    <r>
      <rPr>
        <sz val="10"/>
        <rFont val="Arial"/>
        <family val="2"/>
      </rPr>
      <t xml:space="preserve"> / </t>
    </r>
    <r>
      <rPr>
        <sz val="10"/>
        <rFont val="Arial"/>
        <family val="2"/>
      </rPr>
      <t>D</t>
    </r>
    <r>
      <rPr>
        <vertAlign val="subscript"/>
        <sz val="10"/>
        <rFont val="Arial"/>
        <family val="2"/>
      </rPr>
      <t>25</t>
    </r>
    <r>
      <rPr>
        <sz val="10"/>
        <rFont val="Arial"/>
        <family val="2"/>
      </rPr>
      <t>)</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</si>
  <si>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0"/>
        <rFont val="Symbol"/>
        <family val="1"/>
        <charset val="2"/>
      </rPr>
      <t>f</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</si>
  <si>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0"/>
        <rFont val="Symbol"/>
        <family val="1"/>
        <charset val="2"/>
      </rPr>
      <t>f</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</si>
  <si>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1"/>
        <rFont val="Symbol"/>
        <family val="1"/>
        <charset val="2"/>
      </rPr>
      <t>m</t>
    </r>
    <r>
      <rPr>
        <sz val="10"/>
        <rFont val="Arial"/>
        <family val="2"/>
      </rPr>
      <t>m):</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</si>
  <si>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1"/>
        <rFont val="Symbol"/>
        <family val="1"/>
        <charset val="2"/>
      </rPr>
      <t>m</t>
    </r>
    <r>
      <rPr>
        <sz val="10"/>
        <rFont val="Arial"/>
        <family val="2"/>
      </rPr>
      <t>m):</t>
    </r>
  </si>
  <si>
    <t>Aperture</t>
  </si>
  <si>
    <t>apertures</t>
  </si>
  <si>
    <r>
      <t xml:space="preserve">    </t>
    </r>
    <r>
      <rPr>
        <b/>
        <u/>
        <sz val="12"/>
        <rFont val="Arial"/>
        <family val="2"/>
      </rPr>
      <t>SAMPLE STATISTICS</t>
    </r>
  </si>
  <si>
    <t>SIEVING ERROR:</t>
  </si>
  <si>
    <t>E-mail:   s.blott@kpal.co.uk</t>
  </si>
  <si>
    <t>Kenneth Pye Associates Ltd.</t>
  </si>
  <si>
    <t>UK</t>
  </si>
  <si>
    <r>
      <t xml:space="preserve">Developed by </t>
    </r>
    <r>
      <rPr>
        <b/>
        <sz val="10"/>
        <rFont val="Arial"/>
        <family val="2"/>
      </rPr>
      <t>Dr Simon J Blott</t>
    </r>
  </si>
  <si>
    <t xml:space="preserve">, </t>
  </si>
  <si>
    <t>ANALYST &amp; DATE:</t>
  </si>
  <si>
    <t>Version 9.1</t>
  </si>
  <si>
    <t>Gateway Building</t>
  </si>
  <si>
    <t>1 Collegiate Square</t>
  </si>
  <si>
    <t>Shinfield</t>
  </si>
  <si>
    <t>READING RG2 9LH</t>
  </si>
  <si>
    <t>Tel/Fax:  +44 (0)118 3041026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</si>
</sst>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0"/>
    <numFmt numFmtId="166" formatCode="0.00000"/>
    <numFmt numFmtId="167" formatCode="0.0000"/>
    <numFmt numFmtId="168" formatCode="0.000000000000000"/>
    <numFmt numFmtId="169" formatCode="0.0%"/>
    <numFmt numFmtId="170" formatCode="0.00000000E+00"/>
  </numFmts>
  <fonts count="30" x14ac:knownFonts="1">
    <font>
      <sz val="10"/>
      <name val="Arial"/>
    </font>
    <font>
      <b/>
      <sz val="10"/>
      <name val="Arial"/>
      <family val="2"/>
    </font>
    <font>
      <sz val="10"/>
      <name val="Arial"/>
      <family val="2"/>
    </font>
    <font>
      <b/>
      <sz val="12"/>
      <name val="Arial"/>
      <family val="2"/>
    </font>
    <font>
      <u/>
      <sz val="10"/>
      <name val="Arial"/>
      <family val="2"/>
    </font>
    <font>
      <b/>
      <u/>
      <sz val="12"/>
      <name val="Arial"/>
      <family val="2"/>
    </font>
    <font>
      <b/>
      <u/>
      <sz val="10"/>
      <name val="Arial"/>
      <family val="2"/>
    </font>
    <font>
      <b/>
      <sz val="10"/>
      <name val="Arial"/>
      <family val="2"/>
    </font>
    <font>
      <sz val="10"/>
      <name val="Arial"/>
      <family val="2"/>
    </font>
    <font>
      <sz val="10"/>
      <name val="Symbol"/>
      <family val="1"/>
      <charset val="2"/>
    </font>
    <font>
      <vertAlign val="subscript"/>
      <sz val="10"/>
      <name val="Arial"/>
      <family val="2"/>
    </font>
    <font>
      <b/>
      <sz val="10"/>
      <name val="Arial"/>
      <family val="2"/>
    </font>
    <font>
      <sz val="10"/>
      <name val="Arial"/>
      <family val="2"/>
    </font>
    <font>
      <sz val="8"/>
      <name val="Arial"/>
      <family val="2"/>
    </font>
    <font>
      <b/>
      <u/>
      <sz val="14"/>
      <name val="Arial"/>
      <family val="2"/>
    </font>
    <font>
      <b/>
      <sz val="14"/>
      <name val="Arial"/>
      <family val="2"/>
    </font>
    <font>
      <b/>
      <sz val="12"/>
      <name val="Arial"/>
      <family val="2"/>
    </font>
    <font>
      <i/>
      <sz val="10"/>
      <name val="Arial"/>
      <family val="2"/>
    </font>
    <font>
      <vertAlign val="superscript"/>
      <sz val="10"/>
      <name val="Arial"/>
      <family val="2"/>
    </font>
    <font>
      <sz val="20"/>
      <name val="Arial"/>
      <family val="2"/>
    </font>
    <font>
      <sz val="20"/>
      <color indexed="56"/>
      <name val="Arial"/>
      <family val="2"/>
    </font>
    <font>
      <sz val="10"/>
      <color indexed="56"/>
      <name val="Arial"/>
      <family val="2"/>
    </font>
    <font>
      <sz val="12"/>
      <name val="Arial"/>
      <family val="2"/>
    </font>
    <font>
      <sz val="24"/>
      <color indexed="17"/>
      <name val="Arial"/>
      <family val="2"/>
    </font>
    <font>
      <sz val="20"/>
      <color indexed="18"/>
      <name val="Arial"/>
      <family val="2"/>
    </font>
    <font>
      <sz val="11"/>
      <name val="Symbol"/>
      <family val="1"/>
      <charset val="2"/>
    </font>
    <font>
      <sz val="9"/>
      <name val="Arial"/>
      <family val="2"/>
    </font>
    <font>
      <i/>
      <sz val="10"/>
      <name val="Times New Roman"/>
      <family val="1"/>
    </font>
    <font>
      <b/>
      <sz val="12"/>
      <color rgb="FFFF0000"/>
      <name val="Arial"/>
      <family val="2"/>
    </font>
    <font>
      <b/>
      <sz val="10"/>
      <color rgb="FF3333CC"/>
      <name val="Arial"/>
      <family val="2"/>
    </font>
  </fonts>
  <fills count="5">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56"/>
        <bgColor indexed="64"/>
      </patternFill>
    </fill>
  </fills>
  <borders count="45">
    <border>
      <left/>
      <right/>
      <top/>
      <bottom/>
      <diagonal/>
    </border>
    <border>
      <left/>
      <right style="thin">
        <color indexed="64"/>
      </right>
      <top style="thin">
        <color indexed="64"/>
      </top>
      <bottom/>
      <diagonal/>
    </border>
    <border>
      <left/>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s>
  <cellStyleXfs count="2">
    <xf numFmtId="0" fontId="0" fillId="0" borderId="0"/>
    <xf numFmtId="9" fontId="2" fillId="0" borderId="0" applyFont="0" applyFill="0" applyBorder="0" applyAlignment="0" applyProtection="0"/>
  </cellStyleXfs>
  <cellXfs count="335">
    <xf numFmtId="0" fontId="0" fillId="0" borderId="0" xfId="0"/>
    <xf numFmtId="0" fontId="0" fillId="0" borderId="1" xfId="0" applyBorder="1" applyProtection="1"/>
    <xf numFmtId="0" fontId="0" fillId="0" borderId="0" xfId="0" applyBorder="1" applyProtection="1"/>
    <xf numFmtId="0" fontId="0" fillId="0" borderId="2" xfId="0" applyBorder="1" applyProtection="1"/>
    <xf numFmtId="0" fontId="0" fillId="0" borderId="0" xfId="0" applyProtection="1">
      <protection locked="0"/>
    </xf>
    <xf numFmtId="0" fontId="0" fillId="0" borderId="0" xfId="0" applyBorder="1" applyAlignment="1" applyProtection="1">
      <alignment vertical="center"/>
    </xf>
    <xf numFmtId="0" fontId="0" fillId="0" borderId="2" xfId="0" applyBorder="1" applyAlignment="1" applyProtection="1">
      <alignment vertical="center"/>
    </xf>
    <xf numFmtId="0" fontId="0" fillId="0" borderId="0" xfId="0" applyBorder="1" applyAlignment="1" applyProtection="1">
      <alignment horizontal="right" vertical="center"/>
    </xf>
    <xf numFmtId="0" fontId="7" fillId="0" borderId="3" xfId="0"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0" fillId="0" borderId="0" xfId="0" applyAlignment="1">
      <alignment horizontal="right"/>
    </xf>
    <xf numFmtId="0" fontId="0" fillId="0" borderId="0" xfId="0" applyBorder="1" applyProtection="1">
      <protection locked="0"/>
    </xf>
    <xf numFmtId="165" fontId="0" fillId="0" borderId="7" xfId="0" applyNumberFormat="1" applyBorder="1" applyAlignment="1" applyProtection="1">
      <alignment horizontal="center"/>
    </xf>
    <xf numFmtId="0" fontId="0" fillId="0" borderId="0" xfId="0" applyAlignment="1">
      <alignment horizontal="center"/>
    </xf>
    <xf numFmtId="0" fontId="0" fillId="0" borderId="0" xfId="0" applyBorder="1" applyAlignment="1" applyProtection="1">
      <alignment horizontal="left" vertical="center"/>
    </xf>
    <xf numFmtId="0" fontId="5" fillId="0" borderId="0" xfId="0" applyFont="1" applyAlignment="1">
      <alignment horizontal="center"/>
    </xf>
    <xf numFmtId="0" fontId="7" fillId="0" borderId="0" xfId="0" applyFont="1" applyBorder="1" applyAlignment="1">
      <alignment horizontal="center"/>
    </xf>
    <xf numFmtId="0" fontId="14" fillId="0" borderId="0" xfId="0" applyFont="1" applyAlignment="1">
      <alignment horizontal="centerContinuous"/>
    </xf>
    <xf numFmtId="0" fontId="5" fillId="0" borderId="0" xfId="0" applyFont="1" applyAlignment="1">
      <alignment horizontal="centerContinuous"/>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13" fillId="0" borderId="0" xfId="0" applyFont="1" applyBorder="1" applyAlignment="1">
      <alignment horizontal="center"/>
    </xf>
    <xf numFmtId="0" fontId="13" fillId="0" borderId="0" xfId="0" quotePrefix="1" applyFont="1" applyBorder="1" applyAlignment="1">
      <alignment horizontal="center"/>
    </xf>
    <xf numFmtId="165" fontId="0" fillId="0" borderId="0" xfId="0" applyNumberFormat="1"/>
    <xf numFmtId="0" fontId="8" fillId="2" borderId="8" xfId="0" applyFont="1" applyFill="1" applyBorder="1" applyAlignment="1">
      <alignment horizontal="left"/>
    </xf>
    <xf numFmtId="0" fontId="0" fillId="0" borderId="9" xfId="0" applyBorder="1" applyAlignment="1">
      <alignment horizontal="center"/>
    </xf>
    <xf numFmtId="0" fontId="8" fillId="0" borderId="0" xfId="0" applyFont="1" applyBorder="1"/>
    <xf numFmtId="0" fontId="8" fillId="0" borderId="0" xfId="0" applyFont="1"/>
    <xf numFmtId="0" fontId="7" fillId="0" borderId="0" xfId="0" applyFont="1" applyFill="1" applyBorder="1" applyAlignment="1">
      <alignment horizontal="left"/>
    </xf>
    <xf numFmtId="0" fontId="8" fillId="0" borderId="0" xfId="0" applyFont="1" applyFill="1" applyBorder="1" applyAlignment="1">
      <alignment horizontal="left"/>
    </xf>
    <xf numFmtId="0" fontId="7" fillId="0" borderId="10" xfId="0" applyFont="1" applyBorder="1" applyAlignment="1">
      <alignment horizontal="center"/>
    </xf>
    <xf numFmtId="0" fontId="7" fillId="0" borderId="11" xfId="0" applyFont="1" applyBorder="1" applyAlignment="1">
      <alignment horizontal="center"/>
    </xf>
    <xf numFmtId="0" fontId="5" fillId="0" borderId="0" xfId="0" applyFont="1"/>
    <xf numFmtId="0" fontId="0" fillId="0" borderId="12" xfId="0" applyBorder="1" applyAlignment="1">
      <alignment horizontal="center"/>
    </xf>
    <xf numFmtId="0" fontId="7" fillId="2" borderId="0" xfId="0" applyFont="1" applyFill="1" applyAlignment="1">
      <alignment horizontal="center"/>
    </xf>
    <xf numFmtId="0" fontId="7" fillId="0" borderId="5" xfId="0" applyFont="1" applyBorder="1" applyAlignment="1">
      <alignment horizontal="left"/>
    </xf>
    <xf numFmtId="0" fontId="0" fillId="0" borderId="13" xfId="0" applyBorder="1" applyAlignment="1">
      <alignment horizontal="center"/>
    </xf>
    <xf numFmtId="0" fontId="8" fillId="2" borderId="0" xfId="0" applyFont="1" applyFill="1" applyAlignment="1">
      <alignment horizontal="center"/>
    </xf>
    <xf numFmtId="0" fontId="0" fillId="2" borderId="0" xfId="0" applyFill="1" applyAlignment="1">
      <alignment horizontal="center"/>
    </xf>
    <xf numFmtId="0" fontId="0" fillId="2" borderId="0" xfId="0" applyFill="1" applyBorder="1" applyAlignment="1">
      <alignment horizontal="center"/>
    </xf>
    <xf numFmtId="0" fontId="0" fillId="2" borderId="14" xfId="0" applyFill="1" applyBorder="1" applyAlignment="1">
      <alignment horizontal="center"/>
    </xf>
    <xf numFmtId="0" fontId="8" fillId="2" borderId="14" xfId="0" applyFont="1" applyFill="1" applyBorder="1" applyAlignment="1">
      <alignment horizontal="center"/>
    </xf>
    <xf numFmtId="0" fontId="8" fillId="2" borderId="0" xfId="0" applyFont="1" applyFill="1" applyBorder="1" applyAlignment="1">
      <alignment horizontal="center"/>
    </xf>
    <xf numFmtId="0" fontId="8" fillId="0" borderId="11" xfId="0" applyFont="1" applyBorder="1" applyAlignment="1">
      <alignment horizontal="right"/>
    </xf>
    <xf numFmtId="0" fontId="8" fillId="0" borderId="11" xfId="0" applyFont="1" applyFill="1" applyBorder="1" applyAlignment="1">
      <alignment horizontal="right"/>
    </xf>
    <xf numFmtId="0" fontId="11" fillId="0" borderId="15" xfId="0" applyFont="1" applyBorder="1" applyAlignment="1">
      <alignment horizontal="center"/>
    </xf>
    <xf numFmtId="0" fontId="11" fillId="0" borderId="16" xfId="0" applyFont="1" applyBorder="1" applyAlignment="1">
      <alignment horizontal="center"/>
    </xf>
    <xf numFmtId="0" fontId="8" fillId="0" borderId="17" xfId="0" applyFont="1" applyBorder="1" applyAlignment="1">
      <alignment horizontal="center"/>
    </xf>
    <xf numFmtId="0" fontId="8" fillId="0" borderId="18" xfId="0" applyFont="1" applyBorder="1" applyAlignment="1">
      <alignment horizontal="center"/>
    </xf>
    <xf numFmtId="0" fontId="8" fillId="0" borderId="19" xfId="0" applyFont="1" applyBorder="1" applyAlignment="1">
      <alignment horizontal="center"/>
    </xf>
    <xf numFmtId="0" fontId="8" fillId="0" borderId="12" xfId="0" applyFont="1" applyBorder="1" applyAlignment="1">
      <alignment horizontal="center"/>
    </xf>
    <xf numFmtId="0" fontId="8" fillId="0" borderId="7" xfId="0" applyFont="1" applyBorder="1" applyAlignment="1">
      <alignment horizontal="center"/>
    </xf>
    <xf numFmtId="165" fontId="8" fillId="0" borderId="12" xfId="0" applyNumberFormat="1" applyFont="1" applyBorder="1" applyAlignment="1">
      <alignment horizontal="center"/>
    </xf>
    <xf numFmtId="165" fontId="8" fillId="0" borderId="7" xfId="0" applyNumberFormat="1" applyFont="1" applyBorder="1" applyAlignment="1">
      <alignment horizontal="center"/>
    </xf>
    <xf numFmtId="169" fontId="8" fillId="0" borderId="12" xfId="1" applyNumberFormat="1" applyFont="1" applyBorder="1" applyAlignment="1">
      <alignment horizontal="center"/>
    </xf>
    <xf numFmtId="169" fontId="8" fillId="0" borderId="7" xfId="1" applyNumberFormat="1" applyFont="1" applyBorder="1" applyAlignment="1">
      <alignment horizontal="center"/>
    </xf>
    <xf numFmtId="169" fontId="8" fillId="0" borderId="7" xfId="1" applyNumberFormat="1" applyFont="1" applyBorder="1" applyAlignment="1" applyProtection="1">
      <alignment horizontal="center" vertical="center"/>
    </xf>
    <xf numFmtId="169" fontId="8" fillId="0" borderId="12" xfId="1" applyNumberFormat="1" applyFont="1" applyFill="1" applyBorder="1" applyAlignment="1">
      <alignment horizontal="center"/>
    </xf>
    <xf numFmtId="169" fontId="8" fillId="0" borderId="7" xfId="0" applyNumberFormat="1" applyFont="1" applyBorder="1" applyAlignment="1">
      <alignment horizontal="center"/>
    </xf>
    <xf numFmtId="169" fontId="8" fillId="0" borderId="9" xfId="1" applyNumberFormat="1" applyFont="1" applyFill="1" applyBorder="1" applyAlignment="1">
      <alignment horizontal="center"/>
    </xf>
    <xf numFmtId="169" fontId="8" fillId="0" borderId="20" xfId="0" applyNumberFormat="1" applyFont="1" applyBorder="1" applyAlignment="1">
      <alignment horizontal="center"/>
    </xf>
    <xf numFmtId="0" fontId="8" fillId="0" borderId="21" xfId="0" applyFont="1" applyBorder="1" applyAlignment="1" applyProtection="1">
      <alignment horizontal="left" vertical="center"/>
    </xf>
    <xf numFmtId="0" fontId="8" fillId="0" borderId="8" xfId="0" applyFont="1" applyBorder="1" applyAlignment="1" applyProtection="1">
      <alignment horizontal="left" vertical="center"/>
    </xf>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8" fillId="0" borderId="22" xfId="0" applyFont="1" applyBorder="1" applyAlignment="1">
      <alignment vertical="center"/>
    </xf>
    <xf numFmtId="0" fontId="8" fillId="0" borderId="23" xfId="0" applyFont="1" applyBorder="1" applyAlignment="1">
      <alignment horizontal="center"/>
    </xf>
    <xf numFmtId="0" fontId="8" fillId="0" borderId="24" xfId="0" applyFont="1" applyBorder="1" applyAlignment="1">
      <alignment horizontal="center"/>
    </xf>
    <xf numFmtId="0" fontId="8" fillId="0" borderId="25" xfId="0" applyFont="1" applyBorder="1" applyAlignment="1" applyProtection="1">
      <alignment horizontal="left" vertical="center"/>
    </xf>
    <xf numFmtId="165" fontId="8" fillId="0" borderId="19" xfId="0" applyNumberFormat="1" applyFont="1" applyBorder="1" applyAlignment="1">
      <alignment horizontal="center"/>
    </xf>
    <xf numFmtId="0" fontId="8" fillId="0" borderId="26" xfId="0" applyFont="1" applyBorder="1" applyAlignment="1" applyProtection="1">
      <alignment horizontal="left" vertical="center"/>
    </xf>
    <xf numFmtId="165" fontId="8" fillId="0" borderId="20" xfId="0" applyNumberFormat="1" applyFont="1" applyBorder="1" applyAlignment="1">
      <alignment horizontal="center"/>
    </xf>
    <xf numFmtId="0" fontId="8" fillId="0" borderId="2" xfId="0" applyFont="1" applyBorder="1" applyAlignment="1" applyProtection="1">
      <alignment horizontal="left" vertical="center"/>
    </xf>
    <xf numFmtId="165" fontId="8" fillId="0" borderId="23" xfId="0" applyNumberFormat="1" applyFont="1" applyBorder="1" applyAlignment="1">
      <alignment horizontal="center"/>
    </xf>
    <xf numFmtId="165" fontId="8" fillId="0" borderId="24" xfId="0" applyNumberFormat="1" applyFont="1" applyBorder="1" applyAlignment="1">
      <alignment horizontal="center"/>
    </xf>
    <xf numFmtId="165" fontId="8" fillId="0" borderId="27" xfId="0" applyNumberFormat="1" applyFont="1" applyBorder="1" applyAlignment="1">
      <alignment horizontal="center"/>
    </xf>
    <xf numFmtId="165" fontId="8" fillId="0" borderId="28" xfId="0" applyNumberFormat="1" applyFont="1" applyBorder="1" applyAlignment="1">
      <alignment horizontal="center"/>
    </xf>
    <xf numFmtId="165" fontId="8" fillId="0" borderId="29" xfId="0" applyNumberFormat="1" applyFont="1" applyBorder="1" applyAlignment="1">
      <alignment horizontal="center"/>
    </xf>
    <xf numFmtId="0" fontId="8" fillId="0" borderId="30" xfId="0" applyFont="1" applyBorder="1" applyAlignment="1" applyProtection="1">
      <alignment horizontal="left" vertical="center"/>
    </xf>
    <xf numFmtId="0" fontId="8" fillId="0" borderId="31" xfId="0" applyFont="1" applyBorder="1" applyAlignment="1" applyProtection="1">
      <alignment horizontal="left" vertical="center"/>
    </xf>
    <xf numFmtId="0" fontId="8" fillId="0" borderId="32" xfId="0" applyFont="1" applyBorder="1" applyAlignment="1" applyProtection="1">
      <alignment horizontal="left" vertical="center"/>
    </xf>
    <xf numFmtId="169" fontId="8" fillId="0" borderId="17" xfId="1" applyNumberFormat="1" applyFont="1" applyBorder="1" applyAlignment="1">
      <alignment horizontal="center"/>
    </xf>
    <xf numFmtId="169" fontId="8" fillId="0" borderId="18" xfId="1" applyNumberFormat="1" applyFont="1" applyBorder="1" applyAlignment="1">
      <alignment horizontal="center"/>
    </xf>
    <xf numFmtId="14" fontId="0" fillId="2" borderId="14" xfId="0" applyNumberFormat="1" applyFill="1" applyBorder="1" applyAlignment="1">
      <alignment horizontal="center"/>
    </xf>
    <xf numFmtId="14" fontId="0" fillId="2" borderId="0" xfId="0" applyNumberFormat="1" applyFill="1" applyBorder="1" applyAlignment="1">
      <alignment horizontal="center"/>
    </xf>
    <xf numFmtId="14" fontId="0" fillId="2" borderId="0" xfId="0" applyNumberFormat="1" applyFill="1" applyAlignment="1">
      <alignment horizontal="center"/>
    </xf>
    <xf numFmtId="164" fontId="8" fillId="0" borderId="18" xfId="0" applyNumberFormat="1" applyFont="1" applyBorder="1" applyAlignment="1">
      <alignment horizontal="center"/>
    </xf>
    <xf numFmtId="164" fontId="8" fillId="0" borderId="7" xfId="0" applyNumberFormat="1" applyFont="1" applyBorder="1" applyAlignment="1">
      <alignment horizontal="center"/>
    </xf>
    <xf numFmtId="164" fontId="8" fillId="0" borderId="20" xfId="0" applyNumberFormat="1" applyFont="1" applyBorder="1" applyAlignment="1">
      <alignment horizontal="center"/>
    </xf>
    <xf numFmtId="0" fontId="0" fillId="0" borderId="0" xfId="0" applyBorder="1" applyAlignment="1" applyProtection="1">
      <alignment horizontal="center"/>
    </xf>
    <xf numFmtId="0" fontId="0" fillId="2" borderId="0" xfId="0" applyNumberFormat="1" applyFill="1" applyAlignment="1">
      <alignment horizontal="center"/>
    </xf>
    <xf numFmtId="165" fontId="0" fillId="0" borderId="0" xfId="0" applyNumberFormat="1" applyProtection="1">
      <protection locked="0"/>
    </xf>
    <xf numFmtId="165" fontId="0" fillId="0" borderId="0" xfId="0" applyNumberFormat="1" applyBorder="1" applyAlignment="1" applyProtection="1">
      <alignment horizontal="center"/>
    </xf>
    <xf numFmtId="165" fontId="8" fillId="0" borderId="0" xfId="0" applyNumberFormat="1" applyFont="1" applyBorder="1" applyAlignment="1">
      <alignment horizontal="center"/>
    </xf>
    <xf numFmtId="0" fontId="8" fillId="0" borderId="33" xfId="0" applyFont="1" applyBorder="1" applyAlignment="1" applyProtection="1">
      <alignment horizontal="left" vertical="center"/>
    </xf>
    <xf numFmtId="164" fontId="8" fillId="0" borderId="13" xfId="0" applyNumberFormat="1" applyFont="1" applyBorder="1" applyAlignment="1">
      <alignment horizontal="center"/>
    </xf>
    <xf numFmtId="164" fontId="8" fillId="0" borderId="19" xfId="0" applyNumberFormat="1" applyFont="1" applyBorder="1" applyAlignment="1">
      <alignment horizontal="center"/>
    </xf>
    <xf numFmtId="2" fontId="8" fillId="0" borderId="7" xfId="0" applyNumberFormat="1" applyFont="1" applyBorder="1" applyAlignment="1">
      <alignment horizontal="center"/>
    </xf>
    <xf numFmtId="2" fontId="8" fillId="0" borderId="24" xfId="0" applyNumberFormat="1" applyFont="1" applyBorder="1" applyAlignment="1">
      <alignment horizontal="center"/>
    </xf>
    <xf numFmtId="2" fontId="8" fillId="0" borderId="20" xfId="0" applyNumberFormat="1" applyFont="1" applyBorder="1" applyAlignment="1">
      <alignment horizontal="center"/>
    </xf>
    <xf numFmtId="165" fontId="8" fillId="0" borderId="18" xfId="0" applyNumberFormat="1" applyFont="1" applyBorder="1" applyAlignment="1">
      <alignment horizontal="center"/>
    </xf>
    <xf numFmtId="165" fontId="0" fillId="0" borderId="18" xfId="0" applyNumberFormat="1" applyBorder="1" applyAlignment="1" applyProtection="1">
      <alignment horizontal="center"/>
    </xf>
    <xf numFmtId="0" fontId="5" fillId="0" borderId="0" xfId="0" applyFont="1" applyBorder="1" applyAlignment="1" applyProtection="1">
      <alignment horizontal="center" vertical="center"/>
    </xf>
    <xf numFmtId="49" fontId="0" fillId="2" borderId="21" xfId="0" applyNumberFormat="1" applyFill="1" applyBorder="1" applyAlignment="1">
      <alignment horizontal="left"/>
    </xf>
    <xf numFmtId="49" fontId="7" fillId="2" borderId="21" xfId="0" applyNumberFormat="1" applyFont="1" applyFill="1" applyBorder="1" applyAlignment="1">
      <alignment horizontal="left"/>
    </xf>
    <xf numFmtId="164" fontId="8" fillId="0" borderId="17" xfId="0" applyNumberFormat="1" applyFont="1" applyBorder="1" applyAlignment="1">
      <alignment horizontal="center"/>
    </xf>
    <xf numFmtId="164" fontId="8" fillId="0" borderId="27" xfId="0" applyNumberFormat="1" applyFont="1" applyBorder="1" applyAlignment="1">
      <alignment horizontal="center"/>
    </xf>
    <xf numFmtId="164" fontId="8" fillId="0" borderId="28" xfId="0" applyNumberFormat="1" applyFont="1" applyBorder="1" applyAlignment="1">
      <alignment horizontal="center"/>
    </xf>
    <xf numFmtId="0" fontId="0" fillId="0" borderId="0" xfId="0" applyProtection="1"/>
    <xf numFmtId="0" fontId="4" fillId="0" borderId="0" xfId="0" applyFont="1" applyProtection="1"/>
    <xf numFmtId="0" fontId="8" fillId="0" borderId="0" xfId="0" applyFont="1" applyBorder="1" applyProtection="1"/>
    <xf numFmtId="0" fontId="0" fillId="0" borderId="0" xfId="0" applyAlignment="1" applyProtection="1">
      <alignment horizontal="center"/>
    </xf>
    <xf numFmtId="0" fontId="8" fillId="0" borderId="0" xfId="0" applyFont="1" applyBorder="1" applyAlignment="1" applyProtection="1">
      <alignment horizontal="center"/>
    </xf>
    <xf numFmtId="0" fontId="4" fillId="0" borderId="0" xfId="0" applyFont="1" applyBorder="1" applyAlignment="1" applyProtection="1">
      <alignment horizontal="centerContinuous"/>
    </xf>
    <xf numFmtId="0" fontId="5" fillId="0" borderId="0" xfId="0" applyFont="1" applyBorder="1" applyAlignment="1" applyProtection="1">
      <alignment horizontal="centerContinuous" vertical="center"/>
    </xf>
    <xf numFmtId="49" fontId="8" fillId="0" borderId="0" xfId="0" applyNumberFormat="1" applyFont="1" applyBorder="1" applyProtection="1"/>
    <xf numFmtId="0" fontId="0" fillId="0" borderId="13" xfId="0" applyBorder="1" applyProtection="1"/>
    <xf numFmtId="165" fontId="0" fillId="0" borderId="34" xfId="0" applyNumberFormat="1" applyBorder="1" applyAlignment="1" applyProtection="1">
      <alignment horizontal="center"/>
    </xf>
    <xf numFmtId="0" fontId="3" fillId="0" borderId="0" xfId="0" applyFont="1" applyBorder="1" applyProtection="1"/>
    <xf numFmtId="0" fontId="0" fillId="0" borderId="12" xfId="0" applyBorder="1" applyProtection="1"/>
    <xf numFmtId="165" fontId="0" fillId="0" borderId="35" xfId="0" applyNumberFormat="1" applyBorder="1" applyAlignment="1" applyProtection="1">
      <alignment horizontal="center"/>
    </xf>
    <xf numFmtId="0" fontId="5" fillId="0" borderId="0" xfId="0" applyFont="1" applyBorder="1" applyProtection="1"/>
    <xf numFmtId="0" fontId="8" fillId="0" borderId="0" xfId="0" applyFont="1" applyProtection="1"/>
    <xf numFmtId="0" fontId="0" fillId="0" borderId="9" xfId="0" applyBorder="1" applyProtection="1"/>
    <xf numFmtId="165" fontId="0" fillId="0" borderId="36" xfId="0" applyNumberFormat="1" applyBorder="1" applyAlignment="1" applyProtection="1">
      <alignment horizontal="center"/>
    </xf>
    <xf numFmtId="167" fontId="5" fillId="0" borderId="0" xfId="0" applyNumberFormat="1" applyFont="1" applyBorder="1" applyProtection="1"/>
    <xf numFmtId="166" fontId="5" fillId="0" borderId="0" xfId="0" applyNumberFormat="1" applyFont="1" applyBorder="1" applyProtection="1"/>
    <xf numFmtId="2" fontId="0" fillId="0" borderId="0" xfId="0" applyNumberFormat="1" applyProtection="1"/>
    <xf numFmtId="164" fontId="8" fillId="0" borderId="0" xfId="0" applyNumberFormat="1" applyFont="1" applyBorder="1" applyProtection="1"/>
    <xf numFmtId="0" fontId="23" fillId="0" borderId="0" xfId="0" applyFont="1" applyBorder="1" applyProtection="1"/>
    <xf numFmtId="0" fontId="5" fillId="0" borderId="0" xfId="0" applyFont="1" applyFill="1" applyBorder="1" applyProtection="1"/>
    <xf numFmtId="0" fontId="0" fillId="0" borderId="0" xfId="0" applyFill="1" applyBorder="1" applyProtection="1"/>
    <xf numFmtId="9" fontId="0" fillId="0" borderId="0" xfId="0" applyNumberFormat="1" applyBorder="1" applyAlignment="1" applyProtection="1">
      <alignment horizontal="center"/>
    </xf>
    <xf numFmtId="14" fontId="0" fillId="0" borderId="0" xfId="0" applyNumberFormat="1" applyBorder="1" applyAlignment="1" applyProtection="1">
      <alignment horizontal="center" vertical="center"/>
    </xf>
    <xf numFmtId="0" fontId="6" fillId="0" borderId="0" xfId="0" applyFont="1" applyBorder="1" applyAlignment="1" applyProtection="1">
      <alignment horizontal="left"/>
    </xf>
    <xf numFmtId="0" fontId="24" fillId="0" borderId="0" xfId="0" applyFont="1" applyBorder="1" applyProtection="1"/>
    <xf numFmtId="0" fontId="21" fillId="0" borderId="0" xfId="0" applyFont="1" applyProtection="1"/>
    <xf numFmtId="0" fontId="19" fillId="0" borderId="0" xfId="0" applyFont="1" applyProtection="1"/>
    <xf numFmtId="0" fontId="20" fillId="0" borderId="0" xfId="0" applyFont="1" applyProtection="1"/>
    <xf numFmtId="165" fontId="8" fillId="0" borderId="36" xfId="0" applyNumberFormat="1" applyFont="1" applyFill="1" applyBorder="1" applyAlignment="1" applyProtection="1">
      <alignment horizontal="center"/>
    </xf>
    <xf numFmtId="0" fontId="3" fillId="0" borderId="0" xfId="0" applyFont="1" applyFill="1" applyProtection="1"/>
    <xf numFmtId="0" fontId="0" fillId="0" borderId="0" xfId="0" applyFill="1" applyProtection="1"/>
    <xf numFmtId="166" fontId="0" fillId="0" borderId="0" xfId="0" applyNumberFormat="1" applyBorder="1" applyProtection="1"/>
    <xf numFmtId="0" fontId="0" fillId="0" borderId="0" xfId="0" applyBorder="1" applyAlignment="1" applyProtection="1">
      <alignment vertical="top"/>
    </xf>
    <xf numFmtId="0" fontId="0" fillId="0" borderId="0" xfId="0" applyBorder="1" applyAlignment="1" applyProtection="1">
      <alignment horizontal="right" vertical="top"/>
    </xf>
    <xf numFmtId="0" fontId="7" fillId="0" borderId="0" xfId="0" applyFont="1" applyBorder="1" applyAlignment="1" applyProtection="1">
      <alignment horizontal="left" vertical="top"/>
    </xf>
    <xf numFmtId="0" fontId="2" fillId="0" borderId="0" xfId="0" applyFont="1" applyFill="1" applyProtection="1"/>
    <xf numFmtId="2" fontId="0" fillId="0" borderId="0" xfId="0" applyNumberFormat="1" applyFill="1" applyProtection="1"/>
    <xf numFmtId="0" fontId="0" fillId="0" borderId="0" xfId="0" applyBorder="1" applyAlignment="1" applyProtection="1">
      <alignment horizontal="right"/>
    </xf>
    <xf numFmtId="0" fontId="0" fillId="0" borderId="0" xfId="0" applyFill="1" applyAlignment="1" applyProtection="1">
      <alignment horizontal="right"/>
    </xf>
    <xf numFmtId="0" fontId="7" fillId="0" borderId="0" xfId="0" applyFont="1" applyBorder="1" applyAlignment="1" applyProtection="1">
      <alignment horizontal="left" vertical="center"/>
    </xf>
    <xf numFmtId="169" fontId="7" fillId="0" borderId="0" xfId="0" applyNumberFormat="1" applyFont="1" applyBorder="1" applyAlignment="1" applyProtection="1">
      <alignment horizontal="left" vertical="center"/>
    </xf>
    <xf numFmtId="165" fontId="0" fillId="0" borderId="0" xfId="0" applyNumberFormat="1" applyFill="1" applyProtection="1"/>
    <xf numFmtId="14" fontId="0" fillId="0" borderId="0" xfId="0" applyNumberFormat="1" applyFill="1" applyAlignment="1" applyProtection="1">
      <alignment horizontal="right"/>
    </xf>
    <xf numFmtId="0" fontId="1" fillId="0" borderId="0" xfId="0" applyFont="1" applyBorder="1" applyAlignment="1" applyProtection="1">
      <alignment horizontal="left" vertical="center"/>
    </xf>
    <xf numFmtId="14" fontId="8" fillId="0" borderId="0" xfId="0" applyNumberFormat="1" applyFont="1" applyFill="1" applyAlignment="1" applyProtection="1">
      <alignment horizontal="right"/>
    </xf>
    <xf numFmtId="0" fontId="0" fillId="0" borderId="37" xfId="0" applyFill="1" applyBorder="1" applyProtection="1"/>
    <xf numFmtId="0" fontId="0" fillId="0" borderId="24" xfId="0" applyBorder="1" applyAlignment="1" applyProtection="1">
      <alignment horizontal="center"/>
    </xf>
    <xf numFmtId="0" fontId="0" fillId="0" borderId="2" xfId="0" applyBorder="1" applyAlignment="1" applyProtection="1">
      <alignment horizontal="center"/>
    </xf>
    <xf numFmtId="0" fontId="0" fillId="0" borderId="24" xfId="0" applyBorder="1" applyProtection="1"/>
    <xf numFmtId="0" fontId="4" fillId="0" borderId="38" xfId="0" applyFont="1" applyBorder="1" applyAlignment="1" applyProtection="1">
      <alignment horizontal="centerContinuous"/>
    </xf>
    <xf numFmtId="0" fontId="4" fillId="0" borderId="2" xfId="0" applyFont="1" applyBorder="1" applyAlignment="1" applyProtection="1">
      <alignment horizontal="centerContinuous"/>
    </xf>
    <xf numFmtId="0" fontId="4" fillId="0" borderId="1" xfId="0" applyFont="1" applyBorder="1" applyAlignment="1" applyProtection="1">
      <alignment horizontal="centerContinuous"/>
    </xf>
    <xf numFmtId="0" fontId="0" fillId="0" borderId="38" xfId="0" applyBorder="1" applyProtection="1"/>
    <xf numFmtId="0" fontId="0" fillId="0" borderId="39" xfId="0" applyBorder="1" applyAlignment="1" applyProtection="1">
      <alignment horizontal="center"/>
    </xf>
    <xf numFmtId="0" fontId="0" fillId="0" borderId="40" xfId="0" applyBorder="1" applyAlignment="1" applyProtection="1">
      <alignment horizontal="center"/>
    </xf>
    <xf numFmtId="0" fontId="0" fillId="0" borderId="14" xfId="0" applyBorder="1" applyAlignment="1" applyProtection="1">
      <alignment horizontal="centerContinuous"/>
    </xf>
    <xf numFmtId="0" fontId="0" fillId="0" borderId="40" xfId="0" applyBorder="1" applyAlignment="1" applyProtection="1">
      <alignment horizontal="centerContinuous"/>
    </xf>
    <xf numFmtId="1" fontId="0" fillId="0" borderId="0" xfId="0" applyNumberFormat="1" applyProtection="1"/>
    <xf numFmtId="0" fontId="0" fillId="0" borderId="14" xfId="0" applyBorder="1" applyProtection="1"/>
    <xf numFmtId="0" fontId="1" fillId="3" borderId="0" xfId="0" applyFont="1" applyFill="1" applyBorder="1" applyAlignment="1" applyProtection="1">
      <alignment horizontal="left"/>
    </xf>
    <xf numFmtId="0" fontId="1" fillId="3" borderId="0" xfId="0" applyFont="1" applyFill="1" applyBorder="1" applyProtection="1"/>
    <xf numFmtId="0" fontId="0" fillId="0" borderId="40" xfId="0" applyBorder="1" applyProtection="1"/>
    <xf numFmtId="165" fontId="0" fillId="0" borderId="40" xfId="0" applyNumberFormat="1" applyBorder="1" applyAlignment="1" applyProtection="1">
      <alignment horizontal="center" vertical="center"/>
    </xf>
    <xf numFmtId="2" fontId="0" fillId="0" borderId="14" xfId="0" applyNumberFormat="1" applyBorder="1" applyAlignment="1" applyProtection="1">
      <alignment horizontal="center" vertical="center"/>
    </xf>
    <xf numFmtId="0" fontId="0" fillId="0" borderId="0" xfId="0" applyBorder="1" applyAlignment="1" applyProtection="1">
      <alignment horizontal="centerContinuous" vertical="center"/>
    </xf>
    <xf numFmtId="169" fontId="7" fillId="0" borderId="40" xfId="0" applyNumberFormat="1" applyFont="1" applyBorder="1" applyAlignment="1" applyProtection="1">
      <alignment horizontal="left" vertical="center"/>
    </xf>
    <xf numFmtId="164" fontId="0" fillId="0" borderId="0" xfId="0" applyNumberFormat="1" applyProtection="1"/>
    <xf numFmtId="0" fontId="0" fillId="0" borderId="14" xfId="0" applyBorder="1" applyAlignment="1" applyProtection="1">
      <alignment horizontal="right"/>
    </xf>
    <xf numFmtId="0" fontId="0" fillId="0" borderId="40" xfId="0" applyBorder="1" applyAlignment="1" applyProtection="1">
      <alignment horizontal="right"/>
    </xf>
    <xf numFmtId="0" fontId="0" fillId="0" borderId="14" xfId="0" applyBorder="1" applyAlignment="1" applyProtection="1">
      <alignment horizontal="center"/>
    </xf>
    <xf numFmtId="165" fontId="0" fillId="0" borderId="39" xfId="0" applyNumberFormat="1" applyBorder="1" applyAlignment="1" applyProtection="1">
      <alignment horizontal="center"/>
    </xf>
    <xf numFmtId="169" fontId="0" fillId="0" borderId="40" xfId="1" applyNumberFormat="1" applyFont="1" applyBorder="1" applyAlignment="1" applyProtection="1">
      <alignment horizontal="center"/>
    </xf>
    <xf numFmtId="0" fontId="0" fillId="0" borderId="0" xfId="0" applyBorder="1" applyAlignment="1" applyProtection="1">
      <alignment horizontal="center" vertical="center"/>
    </xf>
    <xf numFmtId="2" fontId="0" fillId="0" borderId="18" xfId="0" applyNumberFormat="1" applyBorder="1" applyAlignment="1" applyProtection="1">
      <alignment horizontal="right"/>
    </xf>
    <xf numFmtId="0" fontId="0" fillId="0" borderId="41" xfId="0" applyBorder="1" applyProtection="1"/>
    <xf numFmtId="2" fontId="0" fillId="0" borderId="21" xfId="0" applyNumberFormat="1" applyBorder="1" applyAlignment="1" applyProtection="1">
      <alignment horizontal="right"/>
    </xf>
    <xf numFmtId="0" fontId="0" fillId="0" borderId="18" xfId="0" applyBorder="1" applyAlignment="1" applyProtection="1">
      <alignment horizontal="right"/>
    </xf>
    <xf numFmtId="2" fontId="0" fillId="0" borderId="18" xfId="0" applyNumberFormat="1" applyBorder="1" applyAlignment="1" applyProtection="1">
      <alignment horizontal="center"/>
    </xf>
    <xf numFmtId="0" fontId="0" fillId="0" borderId="18" xfId="0" applyBorder="1" applyAlignment="1" applyProtection="1">
      <alignment horizontal="center"/>
    </xf>
    <xf numFmtId="0" fontId="0" fillId="0" borderId="42" xfId="0" applyBorder="1" applyProtection="1"/>
    <xf numFmtId="0" fontId="0" fillId="0" borderId="21" xfId="0" applyBorder="1" applyProtection="1"/>
    <xf numFmtId="169" fontId="0" fillId="0" borderId="41" xfId="1" applyNumberFormat="1" applyFont="1" applyBorder="1" applyAlignment="1" applyProtection="1">
      <alignment horizontal="center"/>
    </xf>
    <xf numFmtId="2" fontId="0" fillId="0" borderId="42" xfId="0" applyNumberFormat="1" applyBorder="1" applyAlignment="1" applyProtection="1">
      <alignment horizontal="center" vertical="center"/>
    </xf>
    <xf numFmtId="165" fontId="0" fillId="0" borderId="21" xfId="0" applyNumberFormat="1" applyBorder="1" applyAlignment="1" applyProtection="1">
      <alignment horizontal="centerContinuous" vertical="center"/>
    </xf>
    <xf numFmtId="0" fontId="0" fillId="0" borderId="21" xfId="0" applyBorder="1" applyAlignment="1" applyProtection="1">
      <alignment horizontal="right" vertical="center"/>
    </xf>
    <xf numFmtId="169" fontId="7" fillId="0" borderId="41" xfId="0" applyNumberFormat="1" applyFont="1" applyBorder="1" applyAlignment="1" applyProtection="1">
      <alignment horizontal="left" vertical="center"/>
    </xf>
    <xf numFmtId="2" fontId="0" fillId="0" borderId="7" xfId="0" applyNumberFormat="1" applyBorder="1" applyAlignment="1" applyProtection="1">
      <alignment horizontal="center"/>
    </xf>
    <xf numFmtId="167" fontId="0" fillId="0" borderId="7" xfId="0" applyNumberFormat="1" applyBorder="1" applyAlignment="1" applyProtection="1">
      <alignment horizontal="center"/>
    </xf>
    <xf numFmtId="2" fontId="0" fillId="0" borderId="7" xfId="0" applyNumberFormat="1" applyFill="1" applyBorder="1" applyAlignment="1" applyProtection="1">
      <alignment horizontal="center"/>
    </xf>
    <xf numFmtId="166" fontId="0" fillId="0" borderId="7" xfId="0" applyNumberFormat="1" applyBorder="1" applyAlignment="1" applyProtection="1">
      <alignment horizontal="center"/>
    </xf>
    <xf numFmtId="2" fontId="0" fillId="0" borderId="7" xfId="1" applyNumberFormat="1" applyFont="1" applyBorder="1" applyAlignment="1" applyProtection="1">
      <alignment horizontal="center"/>
    </xf>
    <xf numFmtId="166" fontId="0" fillId="0" borderId="18" xfId="0" applyNumberFormat="1" applyBorder="1" applyAlignment="1" applyProtection="1">
      <alignment horizontal="center"/>
    </xf>
    <xf numFmtId="0" fontId="0" fillId="0" borderId="7" xfId="0" applyBorder="1" applyAlignment="1" applyProtection="1">
      <alignment horizontal="center"/>
    </xf>
    <xf numFmtId="49" fontId="0" fillId="2" borderId="21" xfId="0" applyNumberFormat="1" applyFill="1" applyBorder="1" applyAlignment="1" applyProtection="1">
      <alignment horizontal="left"/>
      <protection locked="0"/>
    </xf>
    <xf numFmtId="2" fontId="8" fillId="0" borderId="19" xfId="0" applyNumberFormat="1" applyFont="1" applyBorder="1" applyAlignment="1">
      <alignment horizontal="center"/>
    </xf>
    <xf numFmtId="0" fontId="0" fillId="0" borderId="43" xfId="0" applyFill="1" applyBorder="1" applyProtection="1"/>
    <xf numFmtId="1" fontId="0" fillId="0" borderId="31" xfId="0" applyNumberFormat="1" applyBorder="1" applyAlignment="1">
      <alignment horizontal="center"/>
    </xf>
    <xf numFmtId="2" fontId="8" fillId="0" borderId="27" xfId="0" applyNumberFormat="1" applyFont="1" applyBorder="1" applyAlignment="1">
      <alignment horizontal="center"/>
    </xf>
    <xf numFmtId="2" fontId="8" fillId="0" borderId="18" xfId="0" applyNumberFormat="1" applyFont="1" applyBorder="1" applyAlignment="1">
      <alignment horizontal="center"/>
    </xf>
    <xf numFmtId="2" fontId="8" fillId="0" borderId="12" xfId="0" applyNumberFormat="1" applyFont="1" applyBorder="1" applyAlignment="1">
      <alignment horizontal="center"/>
    </xf>
    <xf numFmtId="165" fontId="8" fillId="0" borderId="9" xfId="0" applyNumberFormat="1" applyFont="1" applyBorder="1" applyAlignment="1">
      <alignment horizontal="center"/>
    </xf>
    <xf numFmtId="2" fontId="8" fillId="0" borderId="23" xfId="0" applyNumberFormat="1" applyFont="1" applyBorder="1" applyAlignment="1">
      <alignment horizontal="center"/>
    </xf>
    <xf numFmtId="2" fontId="8" fillId="0" borderId="29" xfId="0" applyNumberFormat="1" applyFont="1" applyBorder="1" applyAlignment="1">
      <alignment horizontal="center"/>
    </xf>
    <xf numFmtId="168" fontId="0" fillId="0" borderId="0" xfId="0" applyNumberFormat="1" applyBorder="1" applyProtection="1">
      <protection locked="0"/>
    </xf>
    <xf numFmtId="170" fontId="0" fillId="0" borderId="0" xfId="0" applyNumberFormat="1" applyBorder="1" applyProtection="1"/>
    <xf numFmtId="0" fontId="26" fillId="0" borderId="42" xfId="0" applyFont="1" applyBorder="1" applyAlignment="1" applyProtection="1">
      <alignment vertical="center"/>
    </xf>
    <xf numFmtId="0" fontId="26" fillId="0" borderId="21" xfId="0" applyFont="1" applyBorder="1" applyAlignment="1" applyProtection="1">
      <alignment vertical="center"/>
    </xf>
    <xf numFmtId="0" fontId="26" fillId="0" borderId="21" xfId="0" applyFont="1" applyBorder="1" applyAlignment="1" applyProtection="1">
      <alignment vertical="center"/>
      <protection locked="0"/>
    </xf>
    <xf numFmtId="165" fontId="8" fillId="0" borderId="0" xfId="0" applyNumberFormat="1" applyFont="1" applyFill="1" applyBorder="1" applyAlignment="1" applyProtection="1">
      <alignment horizontal="center"/>
    </xf>
    <xf numFmtId="0" fontId="2" fillId="0" borderId="38" xfId="0" applyFont="1" applyBorder="1" applyAlignment="1" applyProtection="1">
      <alignment vertical="center"/>
    </xf>
    <xf numFmtId="0" fontId="2" fillId="0" borderId="2" xfId="0" applyFont="1" applyBorder="1" applyAlignment="1" applyProtection="1">
      <alignment vertical="center"/>
    </xf>
    <xf numFmtId="0" fontId="12" fillId="0" borderId="14" xfId="0" applyFont="1" applyBorder="1" applyAlignment="1" applyProtection="1">
      <alignment vertical="center"/>
    </xf>
    <xf numFmtId="0" fontId="12" fillId="0" borderId="0" xfId="0" applyFont="1" applyBorder="1" applyAlignment="1" applyProtection="1">
      <alignment horizontal="right" vertical="center"/>
    </xf>
    <xf numFmtId="0" fontId="7" fillId="0" borderId="0" xfId="0" applyFont="1" applyBorder="1" applyAlignment="1" applyProtection="1">
      <alignment horizontal="left" vertical="center"/>
      <protection locked="0"/>
    </xf>
    <xf numFmtId="0" fontId="12" fillId="0" borderId="0" xfId="0" applyFont="1" applyBorder="1" applyAlignment="1" applyProtection="1">
      <alignment vertical="center"/>
    </xf>
    <xf numFmtId="0" fontId="12" fillId="0" borderId="0" xfId="0" applyFont="1" applyBorder="1" applyProtection="1">
      <protection locked="0"/>
    </xf>
    <xf numFmtId="0" fontId="8" fillId="0" borderId="0" xfId="0" applyFont="1" applyBorder="1" applyAlignment="1" applyProtection="1">
      <alignment horizontal="left" vertical="center"/>
      <protection locked="0"/>
    </xf>
    <xf numFmtId="0" fontId="12" fillId="0" borderId="42" xfId="0" applyFont="1" applyBorder="1" applyAlignment="1" applyProtection="1">
      <alignment vertical="center"/>
    </xf>
    <xf numFmtId="0" fontId="8" fillId="0" borderId="0" xfId="0" applyFont="1" applyBorder="1" applyAlignment="1" applyProtection="1">
      <alignment horizontal="right" vertical="center"/>
    </xf>
    <xf numFmtId="0" fontId="12" fillId="0" borderId="40" xfId="0" applyFont="1" applyBorder="1" applyAlignment="1" applyProtection="1">
      <alignment horizontal="right" vertical="center"/>
    </xf>
    <xf numFmtId="169" fontId="8" fillId="0" borderId="0" xfId="0" applyNumberFormat="1" applyFont="1" applyBorder="1" applyAlignment="1" applyProtection="1">
      <alignment horizontal="left" vertical="center"/>
      <protection locked="0"/>
    </xf>
    <xf numFmtId="164" fontId="8" fillId="0" borderId="0" xfId="0" applyNumberFormat="1" applyFont="1" applyBorder="1" applyAlignment="1" applyProtection="1">
      <alignment horizontal="right" vertical="center"/>
      <protection locked="0"/>
    </xf>
    <xf numFmtId="169" fontId="12" fillId="0" borderId="0" xfId="1" applyNumberFormat="1" applyFont="1" applyBorder="1" applyAlignment="1" applyProtection="1">
      <alignment horizontal="left" vertical="center"/>
      <protection locked="0"/>
    </xf>
    <xf numFmtId="2" fontId="8" fillId="0" borderId="0" xfId="0" applyNumberFormat="1" applyFont="1" applyBorder="1" applyAlignment="1" applyProtection="1">
      <alignment horizontal="right" vertical="center"/>
      <protection locked="0"/>
    </xf>
    <xf numFmtId="169" fontId="8" fillId="0" borderId="0" xfId="1" applyNumberFormat="1" applyFont="1" applyBorder="1" applyAlignment="1" applyProtection="1">
      <alignment horizontal="left" vertical="center"/>
      <protection locked="0"/>
    </xf>
    <xf numFmtId="0" fontId="8" fillId="0" borderId="0" xfId="0" applyFont="1" applyBorder="1" applyAlignment="1" applyProtection="1">
      <alignment horizontal="right" vertical="center"/>
      <protection locked="0"/>
    </xf>
    <xf numFmtId="164" fontId="9" fillId="0" borderId="41" xfId="0" applyNumberFormat="1" applyFont="1" applyBorder="1" applyAlignment="1" applyProtection="1">
      <alignment horizontal="center" vertical="center"/>
    </xf>
    <xf numFmtId="165" fontId="12" fillId="0" borderId="1" xfId="0" applyNumberFormat="1" applyFont="1" applyBorder="1" applyAlignment="1" applyProtection="1">
      <alignment horizontal="center" vertical="center"/>
      <protection locked="0"/>
    </xf>
    <xf numFmtId="165" fontId="12" fillId="0" borderId="40" xfId="0" applyNumberFormat="1" applyFont="1" applyBorder="1" applyAlignment="1" applyProtection="1">
      <alignment horizontal="center" vertical="center"/>
      <protection locked="0"/>
    </xf>
    <xf numFmtId="165" fontId="8" fillId="0" borderId="0" xfId="0" applyNumberFormat="1" applyFont="1" applyBorder="1" applyAlignment="1" applyProtection="1">
      <alignment horizontal="right" vertical="center"/>
      <protection locked="0"/>
    </xf>
    <xf numFmtId="165" fontId="12" fillId="0" borderId="0" xfId="1" applyNumberFormat="1" applyFont="1" applyBorder="1" applyAlignment="1" applyProtection="1">
      <alignment horizontal="left" vertical="center"/>
      <protection locked="0"/>
    </xf>
    <xf numFmtId="0" fontId="0" fillId="0" borderId="35" xfId="0" applyBorder="1" applyAlignment="1">
      <alignment horizontal="center"/>
    </xf>
    <xf numFmtId="0" fontId="12" fillId="0" borderId="41" xfId="0" applyFont="1" applyBorder="1" applyAlignment="1" applyProtection="1">
      <protection locked="0"/>
    </xf>
    <xf numFmtId="164" fontId="8" fillId="0" borderId="40" xfId="0" applyNumberFormat="1" applyFont="1" applyBorder="1" applyAlignment="1" applyProtection="1">
      <alignment horizontal="center"/>
      <protection locked="0"/>
    </xf>
    <xf numFmtId="0" fontId="0" fillId="0" borderId="21" xfId="0" applyBorder="1" applyProtection="1">
      <protection locked="0"/>
    </xf>
    <xf numFmtId="0" fontId="8" fillId="0" borderId="21" xfId="0" applyFont="1" applyBorder="1" applyAlignment="1" applyProtection="1">
      <alignment horizontal="right" vertical="center"/>
    </xf>
    <xf numFmtId="0" fontId="2" fillId="0" borderId="1" xfId="0" applyFont="1" applyBorder="1" applyAlignment="1" applyProtection="1">
      <alignment vertical="center"/>
    </xf>
    <xf numFmtId="0" fontId="12" fillId="0" borderId="40" xfId="0" applyFont="1" applyBorder="1" applyProtection="1"/>
    <xf numFmtId="0" fontId="0" fillId="0" borderId="40" xfId="0" applyBorder="1" applyProtection="1">
      <protection locked="0"/>
    </xf>
    <xf numFmtId="0" fontId="12" fillId="0" borderId="18" xfId="0" applyFont="1" applyBorder="1" applyAlignment="1" applyProtection="1">
      <alignment vertical="center"/>
    </xf>
    <xf numFmtId="0" fontId="0" fillId="0" borderId="41" xfId="0" applyBorder="1" applyProtection="1">
      <protection locked="0"/>
    </xf>
    <xf numFmtId="0" fontId="12" fillId="0" borderId="39" xfId="0" applyFont="1" applyBorder="1" applyAlignment="1" applyProtection="1">
      <alignment horizontal="right" vertical="center"/>
    </xf>
    <xf numFmtId="169" fontId="12" fillId="0" borderId="40" xfId="1" applyNumberFormat="1" applyFont="1" applyBorder="1" applyAlignment="1" applyProtection="1">
      <alignment horizontal="left" vertical="center"/>
      <protection locked="0"/>
    </xf>
    <xf numFmtId="0" fontId="0" fillId="0" borderId="14" xfId="0" applyBorder="1" applyProtection="1">
      <protection locked="0"/>
    </xf>
    <xf numFmtId="0" fontId="26" fillId="0" borderId="41" xfId="0" applyFont="1" applyBorder="1" applyAlignment="1" applyProtection="1">
      <alignment vertical="center"/>
      <protection locked="0"/>
    </xf>
    <xf numFmtId="0" fontId="12" fillId="0" borderId="0" xfId="0" applyFont="1" applyBorder="1" applyAlignment="1" applyProtection="1">
      <alignment horizontal="left" vertical="center"/>
    </xf>
    <xf numFmtId="0" fontId="8" fillId="0" borderId="0" xfId="0" applyFont="1" applyFill="1" applyBorder="1" applyAlignment="1" applyProtection="1">
      <alignment horizontal="left" vertical="center"/>
    </xf>
    <xf numFmtId="0" fontId="8" fillId="0" borderId="32" xfId="0" applyFont="1" applyFill="1" applyBorder="1" applyAlignment="1" applyProtection="1">
      <alignment horizontal="left" vertical="center"/>
    </xf>
    <xf numFmtId="165" fontId="8" fillId="0" borderId="17" xfId="0" applyNumberFormat="1" applyFont="1" applyBorder="1" applyAlignment="1">
      <alignment horizontal="center"/>
    </xf>
    <xf numFmtId="164" fontId="8" fillId="0" borderId="12" xfId="0" applyNumberFormat="1" applyFont="1" applyBorder="1" applyAlignment="1">
      <alignment horizontal="center"/>
    </xf>
    <xf numFmtId="164" fontId="8" fillId="0" borderId="9" xfId="0" applyNumberFormat="1" applyFont="1" applyBorder="1" applyAlignment="1">
      <alignment horizontal="center"/>
    </xf>
    <xf numFmtId="0" fontId="0" fillId="0" borderId="34" xfId="0" applyBorder="1" applyAlignment="1">
      <alignment horizontal="center"/>
    </xf>
    <xf numFmtId="0" fontId="0" fillId="0" borderId="36" xfId="0" applyBorder="1" applyAlignment="1">
      <alignment horizontal="center"/>
    </xf>
    <xf numFmtId="1" fontId="0" fillId="0" borderId="13" xfId="0" applyNumberFormat="1" applyBorder="1" applyAlignment="1">
      <alignment horizontal="center"/>
    </xf>
    <xf numFmtId="1" fontId="0" fillId="0" borderId="12" xfId="0" applyNumberFormat="1" applyBorder="1" applyAlignment="1">
      <alignment horizontal="center"/>
    </xf>
    <xf numFmtId="0" fontId="0" fillId="0" borderId="32" xfId="0" applyBorder="1" applyAlignment="1">
      <alignment horizontal="center"/>
    </xf>
    <xf numFmtId="1" fontId="0" fillId="0" borderId="30" xfId="0" applyNumberFormat="1" applyBorder="1" applyAlignment="1">
      <alignment horizontal="center"/>
    </xf>
    <xf numFmtId="0" fontId="8" fillId="0" borderId="0" xfId="0" applyFont="1" applyBorder="1" applyAlignment="1" applyProtection="1">
      <alignment horizontal="left"/>
    </xf>
    <xf numFmtId="0" fontId="0" fillId="0" borderId="0" xfId="0" applyBorder="1" applyAlignment="1" applyProtection="1">
      <alignment horizontal="left"/>
    </xf>
    <xf numFmtId="165" fontId="8" fillId="0" borderId="1" xfId="0" applyNumberFormat="1" applyFont="1" applyBorder="1" applyAlignment="1">
      <alignment horizontal="center"/>
    </xf>
    <xf numFmtId="164" fontId="8" fillId="0" borderId="24" xfId="0" applyNumberFormat="1" applyFont="1" applyBorder="1" applyAlignment="1">
      <alignment horizontal="center"/>
    </xf>
    <xf numFmtId="0" fontId="7" fillId="2" borderId="6" xfId="0" applyFont="1" applyFill="1" applyBorder="1" applyAlignment="1">
      <alignment horizontal="center"/>
    </xf>
    <xf numFmtId="164" fontId="0" fillId="0" borderId="7" xfId="0" applyNumberFormat="1" applyBorder="1" applyAlignment="1" applyProtection="1">
      <alignment horizontal="center"/>
    </xf>
    <xf numFmtId="0" fontId="5" fillId="0" borderId="40" xfId="0" applyFont="1" applyBorder="1" applyAlignment="1" applyProtection="1">
      <alignment horizontal="center" vertical="center"/>
    </xf>
    <xf numFmtId="0" fontId="16" fillId="0" borderId="0" xfId="0" applyFont="1" applyBorder="1" applyAlignment="1" applyProtection="1">
      <alignment horizontal="left" vertical="center"/>
    </xf>
    <xf numFmtId="0" fontId="8" fillId="0" borderId="0" xfId="0" applyFont="1" applyBorder="1" applyAlignment="1" applyProtection="1">
      <alignment horizontal="right"/>
    </xf>
    <xf numFmtId="0" fontId="8" fillId="0" borderId="31" xfId="0" applyFont="1" applyBorder="1" applyAlignment="1">
      <alignment horizontal="left" vertical="center"/>
    </xf>
    <xf numFmtId="0" fontId="0" fillId="4" borderId="44" xfId="0" applyFill="1" applyBorder="1" applyProtection="1"/>
    <xf numFmtId="0" fontId="0" fillId="4" borderId="43" xfId="0" applyFill="1" applyBorder="1" applyProtection="1"/>
    <xf numFmtId="0" fontId="2" fillId="0" borderId="0" xfId="0" applyFont="1" applyBorder="1" applyAlignment="1" applyProtection="1">
      <alignment horizontal="right" vertical="center"/>
    </xf>
    <xf numFmtId="0" fontId="3" fillId="0" borderId="0" xfId="0" applyFont="1" applyAlignment="1">
      <alignment horizontal="center"/>
    </xf>
    <xf numFmtId="169" fontId="8" fillId="0" borderId="0" xfId="1" applyNumberFormat="1" applyFont="1" applyBorder="1" applyAlignment="1" applyProtection="1">
      <alignment horizontal="left"/>
    </xf>
    <xf numFmtId="164" fontId="12" fillId="0" borderId="0" xfId="0" applyNumberFormat="1" applyFont="1" applyBorder="1" applyAlignment="1" applyProtection="1">
      <alignment horizontal="center"/>
    </xf>
    <xf numFmtId="164" fontId="12" fillId="0" borderId="40" xfId="0" applyNumberFormat="1" applyFont="1" applyBorder="1" applyAlignment="1" applyProtection="1">
      <alignment horizontal="center"/>
    </xf>
    <xf numFmtId="169" fontId="8" fillId="0" borderId="2" xfId="0" applyNumberFormat="1" applyFont="1" applyBorder="1" applyAlignment="1" applyProtection="1">
      <alignment horizontal="left" vertical="center"/>
      <protection locked="0"/>
    </xf>
    <xf numFmtId="169" fontId="8" fillId="0" borderId="0" xfId="0" applyNumberFormat="1" applyFont="1" applyBorder="1" applyAlignment="1" applyProtection="1">
      <alignment horizontal="left" vertical="center"/>
      <protection locked="0"/>
    </xf>
    <xf numFmtId="169" fontId="8" fillId="0" borderId="0" xfId="1" applyNumberFormat="1" applyFont="1" applyBorder="1" applyAlignment="1" applyProtection="1">
      <alignment horizontal="left" vertical="center"/>
      <protection locked="0"/>
    </xf>
    <xf numFmtId="169" fontId="12" fillId="0" borderId="0" xfId="1" applyNumberFormat="1" applyFont="1" applyBorder="1" applyAlignment="1" applyProtection="1">
      <alignment horizontal="left" vertical="center"/>
      <protection locked="0"/>
    </xf>
    <xf numFmtId="164" fontId="0" fillId="0" borderId="14" xfId="0" applyNumberFormat="1" applyBorder="1" applyAlignment="1" applyProtection="1">
      <alignment horizontal="center"/>
      <protection locked="0"/>
    </xf>
    <xf numFmtId="0" fontId="0" fillId="0" borderId="0" xfId="0" applyBorder="1" applyAlignment="1" applyProtection="1">
      <alignment horizontal="center"/>
      <protection locked="0"/>
    </xf>
    <xf numFmtId="165" fontId="0" fillId="0" borderId="0" xfId="0" applyNumberFormat="1" applyBorder="1" applyAlignment="1" applyProtection="1">
      <alignment horizontal="center"/>
      <protection locked="0"/>
    </xf>
    <xf numFmtId="165" fontId="12" fillId="0" borderId="0" xfId="0" applyNumberFormat="1" applyFont="1" applyBorder="1" applyAlignment="1" applyProtection="1">
      <alignment horizontal="center" vertical="center"/>
      <protection locked="0"/>
    </xf>
    <xf numFmtId="164" fontId="12" fillId="0" borderId="0" xfId="0" applyNumberFormat="1" applyFont="1" applyBorder="1" applyAlignment="1" applyProtection="1">
      <alignment horizontal="center" vertical="center"/>
      <protection locked="0"/>
    </xf>
    <xf numFmtId="0" fontId="12" fillId="0" borderId="0" xfId="0" applyFont="1" applyBorder="1" applyAlignment="1" applyProtection="1">
      <alignment horizontal="center" vertical="center"/>
      <protection locked="0"/>
    </xf>
    <xf numFmtId="0" fontId="12" fillId="0" borderId="40" xfId="0" applyFont="1" applyBorder="1" applyAlignment="1" applyProtection="1">
      <alignment horizontal="center" vertical="center"/>
      <protection locked="0"/>
    </xf>
    <xf numFmtId="164" fontId="8" fillId="0" borderId="14" xfId="0" applyNumberFormat="1" applyFont="1" applyBorder="1" applyAlignment="1" applyProtection="1">
      <alignment horizontal="center"/>
      <protection locked="0"/>
    </xf>
    <xf numFmtId="164" fontId="8" fillId="0" borderId="0" xfId="0" applyNumberFormat="1" applyFont="1" applyBorder="1" applyAlignment="1" applyProtection="1">
      <alignment horizontal="center"/>
      <protection locked="0"/>
    </xf>
    <xf numFmtId="165" fontId="12" fillId="0" borderId="0" xfId="0" applyNumberFormat="1" applyFont="1" applyBorder="1" applyAlignment="1" applyProtection="1">
      <alignment horizontal="center"/>
    </xf>
    <xf numFmtId="0" fontId="0" fillId="0" borderId="0" xfId="0" applyAlignment="1">
      <alignment horizontal="center"/>
    </xf>
    <xf numFmtId="164" fontId="9" fillId="0" borderId="21" xfId="0" applyNumberFormat="1" applyFont="1" applyBorder="1" applyAlignment="1" applyProtection="1">
      <alignment horizontal="center" vertical="center"/>
    </xf>
    <xf numFmtId="0" fontId="0" fillId="0" borderId="21" xfId="0" applyBorder="1" applyAlignment="1"/>
    <xf numFmtId="164" fontId="25" fillId="0" borderId="42" xfId="0" applyNumberFormat="1" applyFont="1" applyBorder="1" applyAlignment="1" applyProtection="1">
      <alignment horizontal="center" vertical="center"/>
      <protection locked="0"/>
    </xf>
    <xf numFmtId="164" fontId="25" fillId="0" borderId="21" xfId="0" applyNumberFormat="1" applyFont="1" applyBorder="1" applyAlignment="1" applyProtection="1">
      <alignment horizontal="center" vertical="center"/>
      <protection locked="0"/>
    </xf>
    <xf numFmtId="2" fontId="12" fillId="0" borderId="38" xfId="0" applyNumberFormat="1" applyFont="1" applyBorder="1" applyAlignment="1" applyProtection="1">
      <alignment horizontal="center" vertical="center"/>
      <protection locked="0"/>
    </xf>
    <xf numFmtId="165" fontId="0" fillId="0" borderId="2" xfId="0" applyNumberFormat="1" applyBorder="1" applyAlignment="1">
      <alignment horizontal="center" vertical="center"/>
    </xf>
    <xf numFmtId="165" fontId="12" fillId="0" borderId="2" xfId="0" applyNumberFormat="1" applyFont="1" applyBorder="1" applyAlignment="1" applyProtection="1">
      <alignment horizontal="center" vertical="center"/>
      <protection locked="0"/>
    </xf>
    <xf numFmtId="165" fontId="12" fillId="0" borderId="14" xfId="0" applyNumberFormat="1" applyFont="1" applyBorder="1" applyAlignment="1" applyProtection="1">
      <alignment horizontal="center" vertical="center"/>
      <protection locked="0"/>
    </xf>
    <xf numFmtId="165" fontId="0" fillId="0" borderId="0" xfId="0" applyNumberFormat="1" applyAlignment="1">
      <alignment horizontal="center" vertical="center"/>
    </xf>
    <xf numFmtId="0" fontId="25" fillId="0" borderId="42" xfId="0" applyFont="1" applyBorder="1" applyAlignment="1" applyProtection="1">
      <alignment horizontal="center" vertical="center"/>
    </xf>
    <xf numFmtId="0" fontId="25" fillId="0" borderId="21" xfId="0" applyFont="1" applyBorder="1" applyAlignment="1" applyProtection="1">
      <alignment horizontal="center" vertical="center"/>
    </xf>
    <xf numFmtId="164" fontId="12" fillId="0" borderId="38" xfId="0" applyNumberFormat="1" applyFont="1" applyBorder="1" applyAlignment="1" applyProtection="1">
      <alignment horizontal="center" vertical="center"/>
      <protection locked="0"/>
    </xf>
    <xf numFmtId="2" fontId="12" fillId="0" borderId="14" xfId="0" applyNumberFormat="1" applyFont="1" applyBorder="1" applyAlignment="1" applyProtection="1">
      <alignment horizontal="center" vertical="center"/>
      <protection locked="0"/>
    </xf>
    <xf numFmtId="164" fontId="12" fillId="0" borderId="14" xfId="0" applyNumberFormat="1" applyFont="1" applyBorder="1" applyAlignment="1" applyProtection="1">
      <alignment horizontal="center" vertical="center"/>
      <protection locked="0"/>
    </xf>
    <xf numFmtId="2" fontId="12" fillId="0" borderId="0" xfId="0" applyNumberFormat="1" applyFont="1" applyBorder="1" applyAlignment="1" applyProtection="1">
      <alignment horizontal="center" vertical="center"/>
      <protection locked="0"/>
    </xf>
    <xf numFmtId="164" fontId="12" fillId="0" borderId="14" xfId="0" applyNumberFormat="1" applyFont="1" applyBorder="1" applyAlignment="1" applyProtection="1">
      <alignment horizontal="center"/>
    </xf>
    <xf numFmtId="0" fontId="9" fillId="0" borderId="21" xfId="0" applyFont="1" applyBorder="1" applyAlignment="1" applyProtection="1">
      <alignment horizontal="center" vertical="center"/>
    </xf>
    <xf numFmtId="2" fontId="12" fillId="0" borderId="2" xfId="0" applyNumberFormat="1" applyFont="1" applyBorder="1" applyAlignment="1" applyProtection="1">
      <alignment horizontal="center" vertical="center"/>
      <protection locked="0"/>
    </xf>
    <xf numFmtId="164" fontId="8" fillId="0" borderId="14" xfId="0" applyNumberFormat="1" applyFont="1" applyBorder="1" applyAlignment="1" applyProtection="1">
      <alignment horizontal="center"/>
    </xf>
    <xf numFmtId="164" fontId="8" fillId="0" borderId="0" xfId="0" applyNumberFormat="1" applyFont="1" applyBorder="1" applyAlignment="1" applyProtection="1">
      <alignment horizontal="center"/>
    </xf>
    <xf numFmtId="2" fontId="0" fillId="0" borderId="14" xfId="0" applyNumberFormat="1" applyBorder="1" applyAlignment="1" applyProtection="1">
      <alignment horizontal="center"/>
      <protection locked="0"/>
    </xf>
    <xf numFmtId="9" fontId="22" fillId="0" borderId="0" xfId="0" applyNumberFormat="1" applyFont="1" applyAlignment="1" applyProtection="1">
      <alignment horizontal="left"/>
    </xf>
    <xf numFmtId="0" fontId="24" fillId="0" borderId="0" xfId="0" applyFont="1" applyAlignment="1" applyProtection="1">
      <alignment horizontal="center"/>
    </xf>
    <xf numFmtId="9" fontId="22" fillId="0" borderId="0" xfId="0" applyNumberFormat="1" applyFont="1" applyBorder="1" applyAlignment="1" applyProtection="1">
      <alignment horizontal="left"/>
    </xf>
    <xf numFmtId="0" fontId="4" fillId="0" borderId="14" xfId="0" applyFont="1" applyBorder="1" applyAlignment="1" applyProtection="1">
      <alignment horizontal="center"/>
    </xf>
    <xf numFmtId="0" fontId="4" fillId="0" borderId="0" xfId="0" applyFont="1" applyBorder="1" applyAlignment="1" applyProtection="1">
      <alignment horizontal="center"/>
    </xf>
    <xf numFmtId="0" fontId="4" fillId="0" borderId="40" xfId="0" applyFont="1" applyBorder="1" applyAlignment="1" applyProtection="1">
      <alignment horizontal="center"/>
    </xf>
    <xf numFmtId="0" fontId="4" fillId="0" borderId="38" xfId="0" applyFont="1" applyBorder="1" applyAlignment="1" applyProtection="1">
      <alignment horizontal="center"/>
    </xf>
    <xf numFmtId="0" fontId="4" fillId="0" borderId="2" xfId="0" applyFont="1" applyBorder="1" applyAlignment="1" applyProtection="1">
      <alignment horizontal="center"/>
    </xf>
    <xf numFmtId="0" fontId="4" fillId="0" borderId="1" xfId="0" applyFont="1" applyBorder="1" applyAlignment="1" applyProtection="1">
      <alignment horizontal="center"/>
    </xf>
    <xf numFmtId="0" fontId="2" fillId="0" borderId="0" xfId="0" applyFont="1" applyAlignment="1">
      <alignment horizontal="center"/>
    </xf>
  </cellXfs>
  <cellStyles count="2">
    <cellStyle name="Normal" xfId="0" builtinId="0"/>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worksheet" Target="worksheets/sheet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chartsheet" Target="chartsheets/sheet6.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chartsheet" Target="chartsheets/sheet5.xml"/><Relationship Id="rId4" Type="http://schemas.openxmlformats.org/officeDocument/2006/relationships/worksheet" Target="worksheets/sheet4.xml"/><Relationship Id="rId9" Type="http://schemas.openxmlformats.org/officeDocument/2006/relationships/chartsheet" Target="chartsheets/sheet4.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harts/_rels/chart2.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sng" strike="noStrike" baseline="0">
                <a:solidFill>
                  <a:srgbClr val="000000"/>
                </a:solidFill>
                <a:latin typeface="Arial"/>
                <a:ea typeface="Arial"/>
                <a:cs typeface="Arial"/>
              </a:defRPr>
            </a:pPr>
            <a:r>
              <a:rPr lang="en-GB"/>
              <a:t>GRAIN SIZE DISTRIBUTION</a:t>
            </a:r>
          </a:p>
        </c:rich>
      </c:tx>
      <c:layout>
        <c:manualLayout>
          <c:xMode val="edge"/>
          <c:yMode val="edge"/>
          <c:x val="0.38294631623412706"/>
          <c:y val="1.4285728521333427E-2"/>
        </c:manualLayout>
      </c:layout>
      <c:overlay val="0"/>
      <c:spPr>
        <a:noFill/>
        <a:ln w="25400">
          <a:noFill/>
        </a:ln>
      </c:spPr>
    </c:title>
    <c:autoTitleDeleted val="0"/>
    <c:plotArea>
      <c:layout>
        <c:manualLayout>
          <c:layoutTarget val="inner"/>
          <c:xMode val="edge"/>
          <c:yMode val="edge"/>
          <c:x val="9.6124176544598691E-2"/>
          <c:y val="0.16938792389581064"/>
          <c:w val="0.86201680901285282"/>
          <c:h val="0.72857215458800484"/>
        </c:manualLayout>
      </c:layout>
      <c:scatterChart>
        <c:scatterStyle val="lineMarker"/>
        <c:varyColors val="0"/>
        <c:ser>
          <c:idx val="0"/>
          <c:order val="0"/>
          <c:tx>
            <c:strRef>
              <c:f>Calculations!$O$30</c:f>
              <c:strCache>
                <c:ptCount val="1"/>
              </c:strCache>
            </c:strRef>
          </c:tx>
          <c:spPr>
            <a:ln w="28575">
              <a:noFill/>
            </a:ln>
          </c:spPr>
          <c:marker>
            <c:symbol val="none"/>
          </c:marker>
          <c:xVal>
            <c:numRef>
              <c:f>Calculations!$D$31:$D$92</c:f>
              <c:numCache>
                <c:formatCode>0.0000</c:formatCode>
                <c:ptCount val="62"/>
                <c:pt idx="0">
                  <c:v>-6.2345665099147958</c:v>
                </c:pt>
                <c:pt idx="1">
                  <c:v>-5.7345665099147958</c:v>
                </c:pt>
                <c:pt idx="2">
                  <c:v>-5.2345665099147958</c:v>
                </c:pt>
                <c:pt idx="3">
                  <c:v>-4.7313533753350789</c:v>
                </c:pt>
                <c:pt idx="4">
                  <c:v>-4.242713413585121</c:v>
                </c:pt>
                <c:pt idx="5">
                  <c:v>-3.742713413585121</c:v>
                </c:pt>
                <c:pt idx="6">
                  <c:v>-3.242713413585121</c:v>
                </c:pt>
                <c:pt idx="7">
                  <c:v>-2.742713413585121</c:v>
                </c:pt>
                <c:pt idx="8">
                  <c:v>-2.242713413585121</c:v>
                </c:pt>
                <c:pt idx="9">
                  <c:v>-1.7427134135851208</c:v>
                </c:pt>
                <c:pt idx="10">
                  <c:v>-1.2427134135851208</c:v>
                </c:pt>
                <c:pt idx="11">
                  <c:v>-0.74271341358512089</c:v>
                </c:pt>
                <c:pt idx="12">
                  <c:v>-0.24271341358512086</c:v>
                </c:pt>
                <c:pt idx="13">
                  <c:v>0.24705453513502137</c:v>
                </c:pt>
                <c:pt idx="14">
                  <c:v>0.7470545351350214</c:v>
                </c:pt>
                <c:pt idx="15">
                  <c:v>1.2470545351350215</c:v>
                </c:pt>
                <c:pt idx="16">
                  <c:v>1.7470545351350215</c:v>
                </c:pt>
                <c:pt idx="17">
                  <c:v>2.2369655941662061</c:v>
                </c:pt>
                <c:pt idx="18">
                  <c:v>2.7369655941662061</c:v>
                </c:pt>
                <c:pt idx="19">
                  <c:v>3.2369655941662066</c:v>
                </c:pt>
                <c:pt idx="20">
                  <c:v>3.7312177747472917</c:v>
                </c:pt>
                <c:pt idx="21">
                  <c:v>6.9942521805810856</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xVal>
          <c:yVal>
            <c:numRef>
              <c:f>Calculations!$O$31:$O$92</c:f>
              <c:numCache>
                <c:formatCode>0.00</c:formatCode>
                <c:ptCount val="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yVal>
          <c:smooth val="0"/>
          <c:extLst>
            <c:ext xmlns:c16="http://schemas.microsoft.com/office/drawing/2014/chart" uri="{C3380CC4-5D6E-409C-BE32-E72D297353CC}">
              <c16:uniqueId val="{00000000-11E8-4A0D-A17A-E170B1C8E0C1}"/>
            </c:ext>
          </c:extLst>
        </c:ser>
        <c:dLbls>
          <c:showLegendKey val="0"/>
          <c:showVal val="0"/>
          <c:showCatName val="0"/>
          <c:showSerName val="0"/>
          <c:showPercent val="0"/>
          <c:showBubbleSize val="0"/>
        </c:dLbls>
        <c:axId val="45968768"/>
        <c:axId val="46412928"/>
      </c:scatterChart>
      <c:valAx>
        <c:axId val="45968768"/>
        <c:scaling>
          <c:orientation val="maxMin"/>
          <c:max val="15"/>
          <c:min val="-2"/>
        </c:scaling>
        <c:delete val="0"/>
        <c:axPos val="t"/>
        <c:title>
          <c:tx>
            <c:rich>
              <a:bodyPr/>
              <a:lstStyle/>
              <a:p>
                <a:pPr>
                  <a:defRPr sz="900" b="1" i="0" u="none" strike="noStrike" baseline="0">
                    <a:solidFill>
                      <a:srgbClr val="000000"/>
                    </a:solidFill>
                    <a:latin typeface="Arial"/>
                    <a:ea typeface="Arial"/>
                    <a:cs typeface="Arial"/>
                  </a:defRPr>
                </a:pPr>
                <a:r>
                  <a:rPr lang="en-GB" sz="900" b="1" i="0" u="none" strike="noStrike" baseline="0">
                    <a:solidFill>
                      <a:srgbClr val="000000"/>
                    </a:solidFill>
                    <a:latin typeface="Arial"/>
                    <a:cs typeface="Arial"/>
                  </a:rPr>
                  <a:t>Particle Diameter (</a:t>
                </a:r>
                <a:r>
                  <a:rPr lang="en-GB" sz="900" b="1" i="0" u="none" strike="noStrike" baseline="0">
                    <a:solidFill>
                      <a:srgbClr val="000000"/>
                    </a:solidFill>
                    <a:latin typeface="Symbol"/>
                  </a:rPr>
                  <a:t>f</a:t>
                </a:r>
                <a:r>
                  <a:rPr lang="en-GB" sz="900" b="1" i="0" u="none" strike="noStrike" baseline="0">
                    <a:solidFill>
                      <a:srgbClr val="000000"/>
                    </a:solidFill>
                    <a:latin typeface="Arial"/>
                    <a:cs typeface="Arial"/>
                  </a:rPr>
                  <a:t>)</a:t>
                </a:r>
              </a:p>
            </c:rich>
          </c:tx>
          <c:layout>
            <c:manualLayout>
              <c:xMode val="edge"/>
              <c:yMode val="edge"/>
              <c:x val="0.44961308383763904"/>
              <c:y val="7.5510279327048124E-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412928"/>
        <c:crosses val="max"/>
        <c:crossBetween val="midCat"/>
      </c:valAx>
      <c:valAx>
        <c:axId val="46412928"/>
        <c:scaling>
          <c:orientation val="minMax"/>
          <c:max val="6"/>
          <c:min val="0"/>
        </c:scaling>
        <c:delete val="0"/>
        <c:axPos val="l"/>
        <c:title>
          <c:tx>
            <c:rich>
              <a:bodyPr/>
              <a:lstStyle/>
              <a:p>
                <a:pPr>
                  <a:defRPr sz="900" b="1" i="0" u="none" strike="noStrike" baseline="0">
                    <a:solidFill>
                      <a:srgbClr val="000000"/>
                    </a:solidFill>
                    <a:latin typeface="Arial"/>
                    <a:ea typeface="Arial"/>
                    <a:cs typeface="Arial"/>
                  </a:defRPr>
                </a:pPr>
                <a:r>
                  <a:rPr lang="en-GB"/>
                  <a:t>Class Weight (%)</a:t>
                </a:r>
              </a:p>
            </c:rich>
          </c:tx>
          <c:layout>
            <c:manualLayout>
              <c:xMode val="edge"/>
              <c:yMode val="edge"/>
              <c:x val="1.7054289386944928E-2"/>
              <c:y val="0.4326534923603838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968768"/>
        <c:crosses val="max"/>
        <c:crossBetween val="midCat"/>
      </c:valAx>
      <c:spPr>
        <a:noFill/>
        <a:ln w="3175">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paperSize="9" orientation="portrait" horizontalDpi="-4"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0341261633919338E-2"/>
          <c:y val="1.6949152542372881E-2"/>
          <c:w val="0.97414684591520162"/>
          <c:h val="0.96610169491525422"/>
        </c:manualLayout>
      </c:layout>
      <c:barChart>
        <c:barDir val="col"/>
        <c:grouping val="clustered"/>
        <c:varyColors val="0"/>
        <c:dLbls>
          <c:showLegendKey val="0"/>
          <c:showVal val="0"/>
          <c:showCatName val="0"/>
          <c:showSerName val="0"/>
          <c:showPercent val="0"/>
          <c:showBubbleSize val="0"/>
        </c:dLbls>
        <c:gapWidth val="150"/>
        <c:axId val="46476672"/>
        <c:axId val="46483328"/>
      </c:barChart>
      <c:catAx>
        <c:axId val="46476672"/>
        <c:scaling>
          <c:orientation val="minMax"/>
        </c:scaling>
        <c:delete val="0"/>
        <c:axPos val="b"/>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483328"/>
        <c:crosses val="autoZero"/>
        <c:auto val="0"/>
        <c:lblAlgn val="ctr"/>
        <c:lblOffset val="100"/>
        <c:tickMarkSkip val="1"/>
        <c:noMultiLvlLbl val="0"/>
      </c:catAx>
      <c:valAx>
        <c:axId val="46483328"/>
        <c:scaling>
          <c:orientation val="minMax"/>
        </c:scaling>
        <c:delete val="0"/>
        <c:axPos val="l"/>
        <c:majorGridlines>
          <c:spPr>
            <a:ln w="3175">
              <a:solidFill>
                <a:srgbClr val="000000"/>
              </a:solidFill>
              <a:prstDash val="solid"/>
            </a:ln>
          </c:spPr>
        </c:majorGridlines>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476672"/>
        <c:crosses val="autoZero"/>
        <c:crossBetween val="between"/>
      </c:valAx>
      <c:spPr>
        <a:solidFill>
          <a:srgbClr val="C0C0C0"/>
        </a:solidFill>
        <a:ln w="12700">
          <a:solidFill>
            <a:srgbClr val="808080"/>
          </a:solidFill>
          <a:prstDash val="solid"/>
        </a:ln>
      </c:spPr>
    </c:plotArea>
    <c:legend>
      <c:legendPos val="r"/>
      <c:layout>
        <c:manualLayout>
          <c:xMode val="edge"/>
          <c:yMode val="edge"/>
          <c:x val="0.99586349534643226"/>
          <c:y val="0.5"/>
          <c:w val="0"/>
          <c:h val="1.6949152542372881E-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0341261633919338E-2"/>
          <c:y val="1.6949152542372881E-2"/>
          <c:w val="0.97414684591520162"/>
          <c:h val="0.96610169491525422"/>
        </c:manualLayout>
      </c:layout>
      <c:barChart>
        <c:barDir val="col"/>
        <c:grouping val="clustered"/>
        <c:varyColors val="0"/>
        <c:dLbls>
          <c:showLegendKey val="0"/>
          <c:showVal val="0"/>
          <c:showCatName val="0"/>
          <c:showSerName val="0"/>
          <c:showPercent val="0"/>
          <c:showBubbleSize val="0"/>
        </c:dLbls>
        <c:gapWidth val="150"/>
        <c:axId val="46840064"/>
        <c:axId val="46841856"/>
      </c:barChart>
      <c:catAx>
        <c:axId val="46840064"/>
        <c:scaling>
          <c:orientation val="minMax"/>
        </c:scaling>
        <c:delete val="0"/>
        <c:axPos val="b"/>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841856"/>
        <c:crosses val="autoZero"/>
        <c:auto val="0"/>
        <c:lblAlgn val="ctr"/>
        <c:lblOffset val="100"/>
        <c:tickMarkSkip val="1"/>
        <c:noMultiLvlLbl val="0"/>
      </c:catAx>
      <c:valAx>
        <c:axId val="46841856"/>
        <c:scaling>
          <c:orientation val="minMax"/>
        </c:scaling>
        <c:delete val="0"/>
        <c:axPos val="l"/>
        <c:majorGridlines>
          <c:spPr>
            <a:ln w="3175">
              <a:solidFill>
                <a:srgbClr val="000000"/>
              </a:solidFill>
              <a:prstDash val="solid"/>
            </a:ln>
          </c:spPr>
        </c:majorGridlines>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840064"/>
        <c:crosses val="autoZero"/>
        <c:crossBetween val="between"/>
      </c:valAx>
      <c:spPr>
        <a:solidFill>
          <a:srgbClr val="C0C0C0"/>
        </a:solidFill>
        <a:ln w="12700">
          <a:solidFill>
            <a:srgbClr val="808080"/>
          </a:solidFill>
          <a:prstDash val="solid"/>
        </a:ln>
      </c:spPr>
    </c:plotArea>
    <c:legend>
      <c:legendPos val="r"/>
      <c:layout>
        <c:manualLayout>
          <c:xMode val="edge"/>
          <c:yMode val="edge"/>
          <c:x val="0.99586349534643226"/>
          <c:y val="0.5"/>
          <c:w val="0"/>
          <c:h val="1.6949152542372881E-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155321188878236E-2"/>
          <c:y val="3.017241379310345E-2"/>
          <c:w val="0.91275167785234901"/>
          <c:h val="0.86637931034482762"/>
        </c:manualLayout>
      </c:layout>
      <c:scatterChart>
        <c:scatterStyle val="lineMarker"/>
        <c:varyColors val="0"/>
        <c:ser>
          <c:idx val="0"/>
          <c:order val="0"/>
          <c:tx>
            <c:strRef>
              <c:f>Calculations!$O$30</c:f>
              <c:strCache>
                <c:ptCount val="1"/>
              </c:strCache>
            </c:strRef>
          </c:tx>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Calculations!$D$31:$D$92</c:f>
              <c:numCache>
                <c:formatCode>0.0000</c:formatCode>
                <c:ptCount val="62"/>
                <c:pt idx="0">
                  <c:v>-6.2345665099147958</c:v>
                </c:pt>
                <c:pt idx="1">
                  <c:v>-5.7345665099147958</c:v>
                </c:pt>
                <c:pt idx="2">
                  <c:v>-5.2345665099147958</c:v>
                </c:pt>
                <c:pt idx="3">
                  <c:v>-4.7313533753350789</c:v>
                </c:pt>
                <c:pt idx="4">
                  <c:v>-4.242713413585121</c:v>
                </c:pt>
                <c:pt idx="5">
                  <c:v>-3.742713413585121</c:v>
                </c:pt>
                <c:pt idx="6">
                  <c:v>-3.242713413585121</c:v>
                </c:pt>
                <c:pt idx="7">
                  <c:v>-2.742713413585121</c:v>
                </c:pt>
                <c:pt idx="8">
                  <c:v>-2.242713413585121</c:v>
                </c:pt>
                <c:pt idx="9">
                  <c:v>-1.7427134135851208</c:v>
                </c:pt>
                <c:pt idx="10">
                  <c:v>-1.2427134135851208</c:v>
                </c:pt>
                <c:pt idx="11">
                  <c:v>-0.74271341358512089</c:v>
                </c:pt>
                <c:pt idx="12">
                  <c:v>-0.24271341358512086</c:v>
                </c:pt>
                <c:pt idx="13">
                  <c:v>0.24705453513502137</c:v>
                </c:pt>
                <c:pt idx="14">
                  <c:v>0.7470545351350214</c:v>
                </c:pt>
                <c:pt idx="15">
                  <c:v>1.2470545351350215</c:v>
                </c:pt>
                <c:pt idx="16">
                  <c:v>1.7470545351350215</c:v>
                </c:pt>
                <c:pt idx="17">
                  <c:v>2.2369655941662061</c:v>
                </c:pt>
                <c:pt idx="18">
                  <c:v>2.7369655941662061</c:v>
                </c:pt>
                <c:pt idx="19">
                  <c:v>3.2369655941662066</c:v>
                </c:pt>
                <c:pt idx="20">
                  <c:v>3.7312177747472917</c:v>
                </c:pt>
                <c:pt idx="21">
                  <c:v>6.9942521805810856</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xVal>
          <c:yVal>
            <c:numRef>
              <c:f>Calculations!$O$31:$O$92</c:f>
              <c:numCache>
                <c:formatCode>0.00</c:formatCode>
                <c:ptCount val="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yVal>
          <c:smooth val="0"/>
          <c:extLst>
            <c:ext xmlns:c16="http://schemas.microsoft.com/office/drawing/2014/chart" uri="{C3380CC4-5D6E-409C-BE32-E72D297353CC}">
              <c16:uniqueId val="{00000000-F66E-491E-AF3F-ED3F56335BDC}"/>
            </c:ext>
          </c:extLst>
        </c:ser>
        <c:dLbls>
          <c:showLegendKey val="0"/>
          <c:showVal val="0"/>
          <c:showCatName val="0"/>
          <c:showSerName val="0"/>
          <c:showPercent val="0"/>
          <c:showBubbleSize val="0"/>
        </c:dLbls>
        <c:axId val="47749760"/>
        <c:axId val="59688064"/>
      </c:scatterChart>
      <c:valAx>
        <c:axId val="47749760"/>
        <c:scaling>
          <c:orientation val="minMax"/>
          <c:max val="15"/>
          <c:min val="-2"/>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f</a:t>
                </a:r>
                <a:r>
                  <a:rPr lang="en-GB" sz="1000" b="1" i="0" u="none" strike="noStrike" baseline="0">
                    <a:solidFill>
                      <a:srgbClr val="000000"/>
                    </a:solidFill>
                    <a:latin typeface="Arial"/>
                    <a:cs typeface="Arial"/>
                  </a:rPr>
                  <a:t>)</a:t>
                </a:r>
              </a:p>
            </c:rich>
          </c:tx>
          <c:layout>
            <c:manualLayout>
              <c:xMode val="edge"/>
              <c:yMode val="edge"/>
              <c:x val="0.45925215723873442"/>
              <c:y val="0.941091954022988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688064"/>
        <c:crossesAt val="0"/>
        <c:crossBetween val="midCat"/>
      </c:valAx>
      <c:valAx>
        <c:axId val="59688064"/>
        <c:scaling>
          <c:orientation val="minMax"/>
          <c:max val="6"/>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Class weight (%)</a:t>
                </a:r>
              </a:p>
            </c:rich>
          </c:tx>
          <c:layout>
            <c:manualLayout>
              <c:xMode val="edge"/>
              <c:yMode val="edge"/>
              <c:x val="1.5340364333652923E-2"/>
              <c:y val="0.38649425287356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7749760"/>
        <c:crossesAt val="-2"/>
        <c:crossBetween val="midCat"/>
      </c:valAx>
      <c:spPr>
        <a:noFill/>
        <a:ln w="3175">
          <a:solidFill>
            <a:srgbClr val="00000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031639501438161E-2"/>
          <c:y val="2.2922636103151862E-2"/>
          <c:w val="0.88686481303930964"/>
          <c:h val="0.88681948424068768"/>
        </c:manualLayout>
      </c:layout>
      <c:scatterChart>
        <c:scatterStyle val="lineMarker"/>
        <c:varyColors val="0"/>
        <c:ser>
          <c:idx val="0"/>
          <c:order val="0"/>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Calculations!$C$30:$C$92</c:f>
              <c:numCache>
                <c:formatCode>0.000</c:formatCode>
                <c:ptCount val="63"/>
                <c:pt idx="0">
                  <c:v>-6.4918530963296748</c:v>
                </c:pt>
                <c:pt idx="1">
                  <c:v>-5.9772799234999168</c:v>
                </c:pt>
                <c:pt idx="2">
                  <c:v>-5.4918530963296748</c:v>
                </c:pt>
                <c:pt idx="3">
                  <c:v>-4.9772799234999168</c:v>
                </c:pt>
                <c:pt idx="4">
                  <c:v>-4.485426827170242</c:v>
                </c:pt>
                <c:pt idx="5">
                  <c:v>-4</c:v>
                </c:pt>
                <c:pt idx="6">
                  <c:v>-3.4854268271702415</c:v>
                </c:pt>
                <c:pt idx="7">
                  <c:v>-3</c:v>
                </c:pt>
                <c:pt idx="8">
                  <c:v>-2.485426827170242</c:v>
                </c:pt>
                <c:pt idx="9">
                  <c:v>-2</c:v>
                </c:pt>
                <c:pt idx="10">
                  <c:v>-1.4854268271702415</c:v>
                </c:pt>
                <c:pt idx="11">
                  <c:v>-1</c:v>
                </c:pt>
                <c:pt idx="12">
                  <c:v>-0.48542682717024171</c:v>
                </c:pt>
                <c:pt idx="13">
                  <c:v>0</c:v>
                </c:pt>
                <c:pt idx="14">
                  <c:v>0.49410907027004275</c:v>
                </c:pt>
                <c:pt idx="15">
                  <c:v>1</c:v>
                </c:pt>
                <c:pt idx="16">
                  <c:v>1.4941090702700428</c:v>
                </c:pt>
                <c:pt idx="17">
                  <c:v>2</c:v>
                </c:pt>
                <c:pt idx="18">
                  <c:v>2.4739311883324122</c:v>
                </c:pt>
                <c:pt idx="19">
                  <c:v>3</c:v>
                </c:pt>
                <c:pt idx="20">
                  <c:v>3.4739311883324127</c:v>
                </c:pt>
                <c:pt idx="21">
                  <c:v>3.9885043611621707</c:v>
                </c:pt>
                <c:pt idx="22">
                  <c:v>10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xVal>
          <c:yVal>
            <c:numRef>
              <c:f>Calculations!$E$30:$E$92</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0"/>
          <c:extLst>
            <c:ext xmlns:c16="http://schemas.microsoft.com/office/drawing/2014/chart" uri="{C3380CC4-5D6E-409C-BE32-E72D297353CC}">
              <c16:uniqueId val="{00000000-C10A-49D3-8C83-0A407C68A096}"/>
            </c:ext>
          </c:extLst>
        </c:ser>
        <c:dLbls>
          <c:showLegendKey val="0"/>
          <c:showVal val="0"/>
          <c:showCatName val="0"/>
          <c:showSerName val="0"/>
          <c:showPercent val="0"/>
          <c:showBubbleSize val="0"/>
        </c:dLbls>
        <c:axId val="59831424"/>
        <c:axId val="59833728"/>
      </c:scatterChart>
      <c:valAx>
        <c:axId val="59831424"/>
        <c:scaling>
          <c:orientation val="minMax"/>
          <c:max val="11"/>
          <c:min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f</a:t>
                </a:r>
                <a:r>
                  <a:rPr lang="en-GB" sz="1000" b="1" i="0" u="none" strike="noStrike" baseline="0">
                    <a:solidFill>
                      <a:srgbClr val="000000"/>
                    </a:solidFill>
                    <a:latin typeface="Arial"/>
                    <a:cs typeface="Arial"/>
                  </a:rPr>
                  <a:t>)</a:t>
                </a:r>
              </a:p>
            </c:rich>
          </c:tx>
          <c:layout>
            <c:manualLayout>
              <c:xMode val="edge"/>
              <c:yMode val="edge"/>
              <c:x val="0.4448705656759348"/>
              <c:y val="0.94269340974212035"/>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33728"/>
        <c:crosses val="autoZero"/>
        <c:crossBetween val="midCat"/>
      </c:valAx>
      <c:valAx>
        <c:axId val="59833728"/>
        <c:scaling>
          <c:orientation val="minMax"/>
          <c:max val="10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Cumulative mass retained (%)</a:t>
                </a:r>
              </a:p>
            </c:rich>
          </c:tx>
          <c:layout>
            <c:manualLayout>
              <c:xMode val="edge"/>
              <c:yMode val="edge"/>
              <c:x val="1.5340364333652923E-2"/>
              <c:y val="0.32951289398280803"/>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31424"/>
        <c:crossesAt val="-1"/>
        <c:crossBetween val="midCat"/>
        <c:minorUnit val="10"/>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526366251198467E-2"/>
          <c:y val="2.7298850574712645E-2"/>
          <c:w val="0.90604026845637586"/>
          <c:h val="0.88505747126436785"/>
        </c:manualLayout>
      </c:layout>
      <c:scatterChart>
        <c:scatterStyle val="lineMarker"/>
        <c:varyColors val="0"/>
        <c:ser>
          <c:idx val="0"/>
          <c:order val="0"/>
          <c:tx>
            <c:strRef>
              <c:f>Calculations!$O$30</c:f>
              <c:strCache>
                <c:ptCount val="1"/>
              </c:strCache>
            </c:strRef>
          </c:tx>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Calculations!$M$31:$M$92</c:f>
              <c:numCache>
                <c:formatCode>0.0</c:formatCode>
                <c:ptCount val="62"/>
                <c:pt idx="0">
                  <c:v>75299.402388066825</c:v>
                </c:pt>
                <c:pt idx="1">
                  <c:v>53244.718047896538</c:v>
                </c:pt>
                <c:pt idx="2">
                  <c:v>37649.70119403339</c:v>
                </c:pt>
                <c:pt idx="3">
                  <c:v>26563.132345414379</c:v>
                </c:pt>
                <c:pt idx="4">
                  <c:v>18931.455305918771</c:v>
                </c:pt>
                <c:pt idx="5">
                  <c:v>13386.560424545207</c:v>
                </c:pt>
                <c:pt idx="6">
                  <c:v>9465.7276529593837</c:v>
                </c:pt>
                <c:pt idx="7">
                  <c:v>6693.2802122726043</c:v>
                </c:pt>
                <c:pt idx="8">
                  <c:v>4732.8638264796928</c:v>
                </c:pt>
                <c:pt idx="9">
                  <c:v>3346.6401061363017</c:v>
                </c:pt>
                <c:pt idx="10">
                  <c:v>2366.4319132398459</c:v>
                </c:pt>
                <c:pt idx="11">
                  <c:v>1673.3200530681509</c:v>
                </c:pt>
                <c:pt idx="12">
                  <c:v>1183.2159566199232</c:v>
                </c:pt>
                <c:pt idx="13">
                  <c:v>842.61497731763586</c:v>
                </c:pt>
                <c:pt idx="14">
                  <c:v>595.81876439064933</c:v>
                </c:pt>
                <c:pt idx="15">
                  <c:v>421.30748865881782</c:v>
                </c:pt>
                <c:pt idx="16">
                  <c:v>297.90938219532461</c:v>
                </c:pt>
                <c:pt idx="17">
                  <c:v>212.13203435596427</c:v>
                </c:pt>
                <c:pt idx="18">
                  <c:v>150</c:v>
                </c:pt>
                <c:pt idx="19">
                  <c:v>106.06601717798213</c:v>
                </c:pt>
                <c:pt idx="20">
                  <c:v>75.29940238806681</c:v>
                </c:pt>
                <c:pt idx="21">
                  <c:v>7.8436877487569596</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xVal>
          <c:yVal>
            <c:numRef>
              <c:f>Calculations!$O$31:$O$92</c:f>
              <c:numCache>
                <c:formatCode>0.00</c:formatCode>
                <c:ptCount val="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yVal>
          <c:smooth val="0"/>
          <c:extLst>
            <c:ext xmlns:c16="http://schemas.microsoft.com/office/drawing/2014/chart" uri="{C3380CC4-5D6E-409C-BE32-E72D297353CC}">
              <c16:uniqueId val="{00000000-0307-4FA6-8C33-98EE04CDAA2C}"/>
            </c:ext>
          </c:extLst>
        </c:ser>
        <c:dLbls>
          <c:showLegendKey val="0"/>
          <c:showVal val="0"/>
          <c:showCatName val="0"/>
          <c:showSerName val="0"/>
          <c:showPercent val="0"/>
          <c:showBubbleSize val="0"/>
        </c:dLbls>
        <c:axId val="92454272"/>
        <c:axId val="92465024"/>
      </c:scatterChart>
      <c:valAx>
        <c:axId val="92454272"/>
        <c:scaling>
          <c:logBase val="10"/>
          <c:orientation val="minMax"/>
          <c:max val="1000"/>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m</a:t>
                </a:r>
                <a:r>
                  <a:rPr lang="en-GB" sz="1000" b="1" i="0" u="none" strike="noStrike" baseline="0">
                    <a:solidFill>
                      <a:srgbClr val="000000"/>
                    </a:solidFill>
                    <a:latin typeface="Arial"/>
                    <a:cs typeface="Arial"/>
                  </a:rPr>
                  <a:t>m)</a:t>
                </a:r>
              </a:p>
            </c:rich>
          </c:tx>
          <c:layout>
            <c:manualLayout>
              <c:xMode val="edge"/>
              <c:yMode val="edge"/>
              <c:x val="0.44007670182166825"/>
              <c:y val="0.956896551724137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65024"/>
        <c:crosses val="autoZero"/>
        <c:crossBetween val="midCat"/>
        <c:minorUnit val="10"/>
      </c:valAx>
      <c:valAx>
        <c:axId val="924650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Class weight (%)</a:t>
                </a:r>
              </a:p>
            </c:rich>
          </c:tx>
          <c:layout>
            <c:manualLayout>
              <c:xMode val="edge"/>
              <c:yMode val="edge"/>
              <c:x val="1.5340364333652923E-2"/>
              <c:y val="0.3936781609195402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54272"/>
        <c:crossesAt val="1"/>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27900287631831E-2"/>
          <c:y val="2.2988505747126436E-2"/>
          <c:w val="0.8983700862895494"/>
          <c:h val="0.88793103448275867"/>
        </c:manualLayout>
      </c:layout>
      <c:scatterChart>
        <c:scatterStyle val="lineMarker"/>
        <c:varyColors val="0"/>
        <c:ser>
          <c:idx val="0"/>
          <c:order val="0"/>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Calculations!$H$30:$H$92</c:f>
              <c:numCache>
                <c:formatCode>General</c:formatCode>
                <c:ptCount val="63"/>
                <c:pt idx="0">
                  <c:v>90000</c:v>
                </c:pt>
                <c:pt idx="1">
                  <c:v>63000</c:v>
                </c:pt>
                <c:pt idx="2">
                  <c:v>45000</c:v>
                </c:pt>
                <c:pt idx="3">
                  <c:v>31500</c:v>
                </c:pt>
                <c:pt idx="4">
                  <c:v>22400</c:v>
                </c:pt>
                <c:pt idx="5">
                  <c:v>16000</c:v>
                </c:pt>
                <c:pt idx="6">
                  <c:v>11200</c:v>
                </c:pt>
                <c:pt idx="7">
                  <c:v>8000</c:v>
                </c:pt>
                <c:pt idx="8">
                  <c:v>5600</c:v>
                </c:pt>
                <c:pt idx="9">
                  <c:v>4000</c:v>
                </c:pt>
                <c:pt idx="10">
                  <c:v>2800</c:v>
                </c:pt>
                <c:pt idx="11">
                  <c:v>2000</c:v>
                </c:pt>
                <c:pt idx="12">
                  <c:v>1400</c:v>
                </c:pt>
                <c:pt idx="13">
                  <c:v>1000</c:v>
                </c:pt>
                <c:pt idx="14">
                  <c:v>710</c:v>
                </c:pt>
                <c:pt idx="15">
                  <c:v>500</c:v>
                </c:pt>
                <c:pt idx="16">
                  <c:v>355</c:v>
                </c:pt>
                <c:pt idx="17">
                  <c:v>250</c:v>
                </c:pt>
                <c:pt idx="18">
                  <c:v>180</c:v>
                </c:pt>
                <c:pt idx="19">
                  <c:v>125</c:v>
                </c:pt>
                <c:pt idx="20">
                  <c:v>90</c:v>
                </c:pt>
                <c:pt idx="21">
                  <c:v>63</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xVal>
          <c:yVal>
            <c:numRef>
              <c:f>Calculations!$E$30:$E$92</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0"/>
          <c:extLst>
            <c:ext xmlns:c16="http://schemas.microsoft.com/office/drawing/2014/chart" uri="{C3380CC4-5D6E-409C-BE32-E72D297353CC}">
              <c16:uniqueId val="{00000000-3F7F-4B28-B191-D711EEE59933}"/>
            </c:ext>
          </c:extLst>
        </c:ser>
        <c:dLbls>
          <c:showLegendKey val="0"/>
          <c:showVal val="0"/>
          <c:showCatName val="0"/>
          <c:showSerName val="0"/>
          <c:showPercent val="0"/>
          <c:showBubbleSize val="0"/>
        </c:dLbls>
        <c:axId val="92477312"/>
        <c:axId val="92508544"/>
      </c:scatterChart>
      <c:valAx>
        <c:axId val="92477312"/>
        <c:scaling>
          <c:logBase val="10"/>
          <c:orientation val="minMax"/>
          <c:max val="1000"/>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m</a:t>
                </a:r>
                <a:r>
                  <a:rPr lang="en-GB" sz="1000" b="1" i="0" u="none" strike="noStrike" baseline="0">
                    <a:solidFill>
                      <a:srgbClr val="000000"/>
                    </a:solidFill>
                    <a:latin typeface="Arial"/>
                    <a:cs typeface="Arial"/>
                  </a:rPr>
                  <a:t>m)</a:t>
                </a:r>
              </a:p>
            </c:rich>
          </c:tx>
          <c:layout>
            <c:manualLayout>
              <c:xMode val="edge"/>
              <c:yMode val="edge"/>
              <c:x val="0.44199424736337489"/>
              <c:y val="0.95545977011494254"/>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508544"/>
        <c:crosses val="autoZero"/>
        <c:crossBetween val="midCat"/>
        <c:minorUnit val="10"/>
      </c:valAx>
      <c:valAx>
        <c:axId val="92508544"/>
        <c:scaling>
          <c:orientation val="minMax"/>
          <c:max val="10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Cumulative mass retained (%)</a:t>
                </a:r>
              </a:p>
            </c:rich>
          </c:tx>
          <c:layout>
            <c:manualLayout>
              <c:xMode val="edge"/>
              <c:yMode val="edge"/>
              <c:x val="9.5877277085330784E-3"/>
              <c:y val="0.3304597701149425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77312"/>
        <c:crossesAt val="1"/>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5"/>
  <sheetViews>
    <sheetView zoomScale="75" workbookViewId="0"/>
  </sheetViews>
  <pageMargins left="0.75" right="0.75" top="1" bottom="1" header="0.5" footer="0.5"/>
  <pageSetup paperSize="9" orientation="landscape" horizontalDpi="300" verticalDpi="300" r:id="rId1"/>
  <headerFooter alignWithMargins="0">
    <oddHeader>&amp;CTriangular Diagram</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0"/>
  <sheetViews>
    <sheetView zoomScale="75" workbookViewId="0"/>
  </sheetViews>
  <pageMargins left="0.75" right="0.75" top="1" bottom="1" header="0.5" footer="0.5"/>
  <pageSetup paperSize="9" orientation="landscape" horizontalDpi="300" verticalDpi="300" r:id="rId1"/>
  <headerFooter alignWithMargins="0">
    <oddHeader>&amp;CTriangular Diagram</oddHead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6"/>
  <sheetViews>
    <sheetView workbookViewId="0" zoomToFit="1"/>
  </sheetViews>
  <pageMargins left="0.35433070866141736" right="0.35433070866141736" top="0.51181102362204722" bottom="0.39370078740157483" header="0.62992125984251968" footer="0.51181102362204722"/>
  <pageSetup paperSize="9" orientation="landscape" horizontalDpi="300" verticalDpi="300" r:id="rId1"/>
  <headerFooter alignWithMargins="0">
    <oddHeader>&amp;CFrequency Distribution Histogram</oddHead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7"/>
  <sheetViews>
    <sheetView workbookViewId="0" zoomToFit="1"/>
  </sheetViews>
  <pageMargins left="0.35433070866141736" right="0.35433070866141736" top="0.48" bottom="0.39370078740157483" header="0.51181102362204722" footer="0.51181102362204722"/>
  <pageSetup paperSize="9" orientation="landscape" horizontalDpi="300" verticalDpi="300" r:id="rId1"/>
  <headerFooter alignWithMargins="0">
    <oddHeader>&amp;CCumulative Frequency Curve</oddHead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8"/>
  <sheetViews>
    <sheetView workbookViewId="0" zoomToFit="1"/>
  </sheetViews>
  <pageMargins left="0.35433070866141736" right="0.35433070866141736" top="0.51181102362204722" bottom="0.39370078740157483" header="0.51181102362204722" footer="0.51181102362204722"/>
  <pageSetup paperSize="9" orientation="landscape" horizontalDpi="300" verticalDpi="300" r:id="rId1"/>
  <headerFooter alignWithMargins="0">
    <oddHeader>&amp;CFrequency Distribution Curve</oddHead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9"/>
  <sheetViews>
    <sheetView workbookViewId="0" zoomToFit="1"/>
  </sheetViews>
  <pageMargins left="0.35433070866141736" right="0.35433070866141736" top="0.51181102362204722" bottom="0.39370078740157483" header="0.51181102362204722" footer="0.51181102362204722"/>
  <pageSetup paperSize="9" orientation="landscape" horizontalDpi="300" verticalDpi="300" r:id="rId1"/>
  <headerFooter alignWithMargins="0">
    <oddHeader>&amp;CCumulative Frequency Curve</oddHead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8.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 Type="http://schemas.openxmlformats.org/officeDocument/2006/relationships/image" Target="../media/image7.emf"/><Relationship Id="rId16" Type="http://schemas.openxmlformats.org/officeDocument/2006/relationships/image" Target="../media/image21.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5" Type="http://schemas.openxmlformats.org/officeDocument/2006/relationships/image" Target="../media/image10.emf"/><Relationship Id="rId15" Type="http://schemas.openxmlformats.org/officeDocument/2006/relationships/image" Target="../media/image20.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0</xdr:col>
      <xdr:colOff>95250</xdr:colOff>
      <xdr:row>18</xdr:row>
      <xdr:rowOff>38100</xdr:rowOff>
    </xdr:from>
    <xdr:to>
      <xdr:col>9</xdr:col>
      <xdr:colOff>447675</xdr:colOff>
      <xdr:row>58</xdr:row>
      <xdr:rowOff>142875</xdr:rowOff>
    </xdr:to>
    <xdr:sp macro="" textlink="">
      <xdr:nvSpPr>
        <xdr:cNvPr id="3073" name="Text 1">
          <a:extLst>
            <a:ext uri="{FF2B5EF4-FFF2-40B4-BE49-F238E27FC236}">
              <a16:creationId xmlns:a16="http://schemas.microsoft.com/office/drawing/2014/main" id="{00000000-0008-0000-0000-0000010C0000}"/>
            </a:ext>
          </a:extLst>
        </xdr:cNvPr>
        <xdr:cNvSpPr txBox="1">
          <a:spLocks noChangeArrowheads="1"/>
        </xdr:cNvSpPr>
      </xdr:nvSpPr>
      <xdr:spPr bwMode="auto">
        <a:xfrm>
          <a:off x="95250" y="3057525"/>
          <a:ext cx="5838825" cy="6581775"/>
        </a:xfrm>
        <a:prstGeom prst="rect">
          <a:avLst/>
        </a:prstGeom>
        <a:noFill/>
        <a:ln w="9525">
          <a:noFill/>
          <a:miter lim="800000"/>
          <a:headEnd/>
          <a:tailEnd/>
        </a:ln>
      </xdr:spPr>
      <xdr:txBody>
        <a:bodyPr vertOverflow="clip" wrap="square" lIns="27432" tIns="22860" rIns="27432" bIns="0" anchor="t" upright="1"/>
        <a:lstStyle/>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The development of this program was inspired by Dave Thornley and John Jack at the Postgraduate Research Institute for Sedimentology at the University of Reading, UK, and the Department of Geology at Royal Holloway University of London, UK.  It is provided in Microsoft Excel format to allow both spreadsheet and graphical output.  The program is best suited to analyse data obtained from sieve or laser granulometer analysis.  The user is required to input the mass or percentage of sediment retained on sieves spaced at any intervals, or the percentage of sediment detected in each bin of a Laser Granulometer.    The following sample statistics are then calculated using the Method of Moments in Microsoft Visual Basic programming language: mean, mode(s), sorting (standard deviation), skewness, kurtosis, 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50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75</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25</a:t>
          </a:r>
          <a:r>
            <a:rPr lang="en-GB" sz="1000" b="0" i="0" u="none" strike="noStrike" baseline="0">
              <a:solidFill>
                <a:srgbClr val="000000"/>
              </a:solidFill>
              <a:latin typeface="Arial"/>
              <a:cs typeface="Arial"/>
            </a:rPr>
            <a:t> and D</a:t>
          </a:r>
          <a:r>
            <a:rPr lang="en-GB" sz="1000" b="0" i="0" u="none" strike="noStrike" baseline="-25000">
              <a:solidFill>
                <a:srgbClr val="000000"/>
              </a:solidFill>
              <a:latin typeface="Arial"/>
              <a:cs typeface="Arial"/>
            </a:rPr>
            <a:t>75</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25</a:t>
          </a:r>
          <a:r>
            <a:rPr lang="en-GB" sz="1000" b="0" i="0" u="none" strike="noStrike" baseline="0">
              <a:solidFill>
                <a:srgbClr val="000000"/>
              </a:solidFill>
              <a:latin typeface="Arial"/>
              <a:cs typeface="Arial"/>
            </a:rPr>
            <a:t>.  Grain size parameters are calculated arithmetically and geometrically (in microns) and logarithmically (using the phi scale) (Krumbein and Pettijohn, 1938</a:t>
          </a:r>
          <a:r>
            <a:rPr lang="en-GB" sz="1000" b="0" i="0" u="none" strike="noStrike" baseline="30000">
              <a:solidFill>
                <a:srgbClr val="000000"/>
              </a:solidFill>
              <a:latin typeface="Arial"/>
              <a:cs typeface="Arial"/>
            </a:rPr>
            <a:t>1</a:t>
          </a:r>
          <a:r>
            <a:rPr lang="en-GB" sz="1000" b="0" i="0" u="none" strike="noStrike" baseline="0">
              <a:solidFill>
                <a:srgbClr val="000000"/>
              </a:solidFill>
              <a:latin typeface="Arial"/>
              <a:cs typeface="Arial"/>
            </a:rPr>
            <a:t>; Table 1).  Linear interpolation is also used to calculate statistical parameters by the Folk and Ward (1957)</a:t>
          </a:r>
          <a:r>
            <a:rPr lang="en-GB" sz="1000" b="0" i="0" u="none" strike="noStrike" baseline="30000">
              <a:solidFill>
                <a:srgbClr val="000000"/>
              </a:solidFill>
              <a:latin typeface="Arial"/>
              <a:cs typeface="Arial"/>
            </a:rPr>
            <a:t>2</a:t>
          </a:r>
          <a:r>
            <a:rPr lang="en-GB" sz="1000" b="0" i="0" u="none" strike="noStrike" baseline="0">
              <a:solidFill>
                <a:srgbClr val="000000"/>
              </a:solidFill>
              <a:latin typeface="Arial"/>
              <a:cs typeface="Arial"/>
            </a:rPr>
            <a:t> graphical method and derive physical descriptions (such as “very coarse sand” and “moderately sorted”).  The program also provides a physical description of the textural group which the sample belongs to and the sediment name (such as “fine gravelly coarse sand”) after Folk (1954)</a:t>
          </a:r>
          <a:r>
            <a:rPr lang="en-GB" sz="1000" b="0" i="0" u="none" strike="noStrike" baseline="30000">
              <a:solidFill>
                <a:srgbClr val="000000"/>
              </a:solidFill>
              <a:latin typeface="Arial"/>
              <a:cs typeface="Arial"/>
            </a:rPr>
            <a:t>3</a:t>
          </a:r>
          <a:r>
            <a:rPr lang="en-GB" sz="1000" b="0" i="0" u="none" strike="noStrike" baseline="0">
              <a:solidFill>
                <a:srgbClr val="000000"/>
              </a:solidFill>
              <a:latin typeface="Arial"/>
              <a:cs typeface="Arial"/>
            </a:rPr>
            <a:t>.  Also included is a table giving the percentage of grains falling into each size fraction, modified from Udden (1914)</a:t>
          </a:r>
          <a:r>
            <a:rPr lang="en-GB" sz="1000" b="0" i="0" u="none" strike="noStrike" baseline="30000">
              <a:solidFill>
                <a:srgbClr val="000000"/>
              </a:solidFill>
              <a:latin typeface="Arial"/>
              <a:cs typeface="Arial"/>
            </a:rPr>
            <a:t>4</a:t>
          </a:r>
          <a:r>
            <a:rPr lang="en-GB" sz="1000" b="0" i="0" u="none" strike="noStrike" baseline="0">
              <a:solidFill>
                <a:srgbClr val="000000"/>
              </a:solidFill>
              <a:latin typeface="Arial"/>
              <a:cs typeface="Arial"/>
            </a:rPr>
            <a:t> and Wentworth (1922)</a:t>
          </a:r>
          <a:r>
            <a:rPr lang="en-GB" sz="1000" b="0" i="0" u="none" strike="noStrike" baseline="30000">
              <a:solidFill>
                <a:srgbClr val="000000"/>
              </a:solidFill>
              <a:latin typeface="Arial"/>
              <a:cs typeface="Arial"/>
            </a:rPr>
            <a:t>5</a:t>
          </a:r>
          <a:r>
            <a:rPr lang="en-GB" sz="1000" b="0" i="0" u="none" strike="noStrike" baseline="0">
              <a:solidFill>
                <a:srgbClr val="000000"/>
              </a:solidFill>
              <a:latin typeface="Arial"/>
              <a:cs typeface="Arial"/>
            </a:rPr>
            <a:t> (see Table 2).  In terms of graphical output, the program provides graphs of the grain size distribution and cumulative distribution of the data in both metric and phi units, and displays the sample grain size on triangular diagrams.  Samples may be analysed singularly, or up to 250 samples may be analysed together.</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The program is ideal for the rapid analysis of sieve data and is freely available from the author at the above address.  Please note that the copyright for the program is held by author, and any distribution or use of the program should be acknowledged to him. </a:t>
          </a: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S. Blott     June 2020</a:t>
          </a:r>
        </a:p>
        <a:p>
          <a:pPr algn="just" rtl="0">
            <a:defRPr sz="1000"/>
          </a:pPr>
          <a:endParaRPr lang="en-GB" sz="1000" b="1"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1</a:t>
          </a:r>
          <a:r>
            <a:rPr lang="en-GB" sz="800" b="0" i="0" u="none" strike="noStrike" baseline="0">
              <a:solidFill>
                <a:srgbClr val="000000"/>
              </a:solidFill>
              <a:latin typeface="Arial"/>
              <a:cs typeface="Arial"/>
            </a:rPr>
            <a:t>Krumbein, W.C. and Pettijohn, F.J. (1938)  </a:t>
          </a:r>
          <a:r>
            <a:rPr lang="en-GB" sz="800" b="0" i="1" u="none" strike="noStrike" baseline="0">
              <a:solidFill>
                <a:srgbClr val="000000"/>
              </a:solidFill>
              <a:latin typeface="Arial"/>
              <a:cs typeface="Arial"/>
            </a:rPr>
            <a:t>Manual of Sedimentary Petrography</a:t>
          </a:r>
          <a:r>
            <a:rPr lang="en-GB" sz="800" b="0" i="0" u="none" strike="noStrike" baseline="0">
              <a:solidFill>
                <a:srgbClr val="000000"/>
              </a:solidFill>
              <a:latin typeface="Arial"/>
              <a:cs typeface="Arial"/>
            </a:rPr>
            <a:t>. Appleton-Century-Crofts, New York.</a:t>
          </a:r>
          <a:endParaRPr lang="en-GB" sz="1000" b="0" i="0" u="none" strike="noStrike" baseline="30000">
            <a:solidFill>
              <a:srgbClr val="000000"/>
            </a:solidFill>
            <a:latin typeface="Arial"/>
            <a:cs typeface="Arial"/>
          </a:endParaRPr>
        </a:p>
        <a:p>
          <a:pPr algn="just" rtl="0">
            <a:defRPr sz="1000"/>
          </a:pPr>
          <a:endParaRPr lang="en-GB" sz="1000" b="0" i="0" u="none" strike="noStrike" baseline="3000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2</a:t>
          </a:r>
          <a:r>
            <a:rPr lang="en-GB" sz="800" b="0" i="0" u="none" strike="noStrike" baseline="0">
              <a:solidFill>
                <a:srgbClr val="000000"/>
              </a:solidFill>
              <a:latin typeface="Arial"/>
              <a:cs typeface="Arial"/>
            </a:rPr>
            <a:t>Folk, R.L. and Ward, W.C. (1957)  Brazos River bar: a study in the significance of grain size parameters.  </a:t>
          </a:r>
          <a:r>
            <a:rPr lang="en-GB" sz="800" b="0" i="1" u="none" strike="noStrike" baseline="0">
              <a:solidFill>
                <a:srgbClr val="000000"/>
              </a:solidFill>
              <a:latin typeface="Arial"/>
              <a:cs typeface="Arial"/>
            </a:rPr>
            <a:t>Journal of Sedimentary Petrology</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27</a:t>
          </a:r>
          <a:r>
            <a:rPr lang="en-GB" sz="800" b="0" i="0" u="none" strike="noStrike" baseline="0">
              <a:solidFill>
                <a:srgbClr val="000000"/>
              </a:solidFill>
              <a:latin typeface="Arial"/>
              <a:cs typeface="Arial"/>
            </a:rPr>
            <a:t>, 3-26.</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3</a:t>
          </a:r>
          <a:r>
            <a:rPr lang="en-GB" sz="800" b="0" i="0" u="none" strike="noStrike" baseline="0">
              <a:solidFill>
                <a:srgbClr val="000000"/>
              </a:solidFill>
              <a:latin typeface="Arial"/>
              <a:cs typeface="Arial"/>
            </a:rPr>
            <a:t>Folk, R.L. (1954)  The distinction between grain size and mineral composition in sedimentary-rock nomenclature.  </a:t>
          </a:r>
          <a:r>
            <a:rPr lang="en-GB" sz="800" b="0" i="1" u="none" strike="noStrike" baseline="0">
              <a:solidFill>
                <a:srgbClr val="000000"/>
              </a:solidFill>
              <a:latin typeface="Arial"/>
              <a:cs typeface="Arial"/>
            </a:rPr>
            <a:t>Journal of Geology</a:t>
          </a:r>
          <a:r>
            <a:rPr lang="en-GB" sz="800" b="0" i="0" u="none" strike="noStrike" baseline="0">
              <a:solidFill>
                <a:srgbClr val="000000"/>
              </a:solidFill>
              <a:latin typeface="Arial"/>
              <a:cs typeface="Arial"/>
            </a:rPr>
            <a:t>,</a:t>
          </a:r>
          <a:r>
            <a:rPr lang="en-GB" sz="800" b="1" i="0" u="none" strike="noStrike" baseline="0">
              <a:solidFill>
                <a:srgbClr val="000000"/>
              </a:solidFill>
              <a:latin typeface="Arial"/>
              <a:cs typeface="Arial"/>
            </a:rPr>
            <a:t> 62</a:t>
          </a:r>
          <a:r>
            <a:rPr lang="en-GB" sz="800" b="0" i="0" u="none" strike="noStrike" baseline="0">
              <a:solidFill>
                <a:srgbClr val="000000"/>
              </a:solidFill>
              <a:latin typeface="Arial"/>
              <a:cs typeface="Arial"/>
            </a:rPr>
            <a:t>, 344-359.</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4</a:t>
          </a:r>
          <a:r>
            <a:rPr lang="en-GB" sz="800" b="0" i="0" u="none" strike="noStrike" baseline="0">
              <a:solidFill>
                <a:srgbClr val="000000"/>
              </a:solidFill>
              <a:latin typeface="Arial"/>
              <a:cs typeface="Arial"/>
            </a:rPr>
            <a:t>Udden, J.A. (1914)  Mechanical composition of clastic sediments.  </a:t>
          </a:r>
          <a:r>
            <a:rPr lang="en-GB" sz="800" b="0" i="1" u="none" strike="noStrike" baseline="0">
              <a:solidFill>
                <a:srgbClr val="000000"/>
              </a:solidFill>
              <a:latin typeface="Arial"/>
              <a:cs typeface="Arial"/>
            </a:rPr>
            <a:t>Bulletin of the Geological Society of America</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25</a:t>
          </a:r>
          <a:r>
            <a:rPr lang="en-GB" sz="800" b="0" i="0" u="none" strike="noStrike" baseline="0">
              <a:solidFill>
                <a:srgbClr val="000000"/>
              </a:solidFill>
              <a:latin typeface="Arial"/>
              <a:cs typeface="Arial"/>
            </a:rPr>
            <a:t>, 655-744.</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5</a:t>
          </a:r>
          <a:r>
            <a:rPr lang="en-GB" sz="800" b="0" i="0" u="none" strike="noStrike" baseline="0">
              <a:solidFill>
                <a:srgbClr val="000000"/>
              </a:solidFill>
              <a:latin typeface="Arial"/>
              <a:cs typeface="Arial"/>
            </a:rPr>
            <a:t>Wentworth, C.K. (1922)  A scale of grade and class terms for clastic sediments.  </a:t>
          </a:r>
          <a:r>
            <a:rPr lang="en-GB" sz="800" b="0" i="1" u="none" strike="noStrike" baseline="0">
              <a:solidFill>
                <a:srgbClr val="000000"/>
              </a:solidFill>
              <a:latin typeface="Arial"/>
              <a:cs typeface="Arial"/>
            </a:rPr>
            <a:t>Journal of Geology</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30</a:t>
          </a:r>
          <a:r>
            <a:rPr lang="en-GB" sz="800" b="0" i="0" u="none" strike="noStrike" baseline="0">
              <a:solidFill>
                <a:srgbClr val="000000"/>
              </a:solidFill>
              <a:latin typeface="Arial"/>
              <a:cs typeface="Arial"/>
            </a:rPr>
            <a:t>, 377-392.</a:t>
          </a:r>
          <a:endParaRPr lang="en-GB" sz="1000" b="1" i="0" u="none" strike="noStrike" baseline="0">
            <a:solidFill>
              <a:srgbClr val="000000"/>
            </a:solidFill>
            <a:latin typeface="Arial"/>
            <a:cs typeface="Arial"/>
          </a:endParaRPr>
        </a:p>
        <a:p>
          <a:pPr algn="just" rtl="0">
            <a:defRPr sz="1000"/>
          </a:pPr>
          <a:endParaRPr lang="en-GB" sz="1000" b="1" i="0" u="none" strike="noStrike" baseline="0">
            <a:solidFill>
              <a:srgbClr val="000000"/>
            </a:solidFill>
            <a:latin typeface="Arial"/>
            <a:cs typeface="Arial"/>
          </a:endParaRPr>
        </a:p>
      </xdr:txBody>
    </xdr:sp>
    <xdr:clientData/>
  </xdr:twoCellAnchor>
  <xdr:twoCellAnchor>
    <xdr:from>
      <xdr:col>0</xdr:col>
      <xdr:colOff>95250</xdr:colOff>
      <xdr:row>62</xdr:row>
      <xdr:rowOff>19050</xdr:rowOff>
    </xdr:from>
    <xdr:to>
      <xdr:col>9</xdr:col>
      <xdr:colOff>447675</xdr:colOff>
      <xdr:row>161</xdr:row>
      <xdr:rowOff>142875</xdr:rowOff>
    </xdr:to>
    <xdr:sp macro="" textlink="">
      <xdr:nvSpPr>
        <xdr:cNvPr id="3074" name="Text 2">
          <a:extLst>
            <a:ext uri="{FF2B5EF4-FFF2-40B4-BE49-F238E27FC236}">
              <a16:creationId xmlns:a16="http://schemas.microsoft.com/office/drawing/2014/main" id="{00000000-0008-0000-0000-0000020C0000}"/>
            </a:ext>
          </a:extLst>
        </xdr:cNvPr>
        <xdr:cNvSpPr txBox="1">
          <a:spLocks noChangeArrowheads="1"/>
        </xdr:cNvSpPr>
      </xdr:nvSpPr>
      <xdr:spPr bwMode="auto">
        <a:xfrm>
          <a:off x="95250" y="10201275"/>
          <a:ext cx="5838825" cy="16154400"/>
        </a:xfrm>
        <a:prstGeom prst="rect">
          <a:avLst/>
        </a:prstGeom>
        <a:noFill/>
        <a:ln w="9525">
          <a:noFill/>
          <a:miter lim="800000"/>
          <a:headEnd/>
          <a:tailEnd/>
        </a:ln>
      </xdr:spPr>
      <xdr:txBody>
        <a:bodyPr vertOverflow="clip" wrap="square" lIns="27432" tIns="22860" rIns="27432" bIns="0" anchor="t" upright="1"/>
        <a:lstStyle/>
        <a:p>
          <a:pPr algn="just" rtl="0">
            <a:defRPr sz="1000"/>
          </a:pPr>
          <a:r>
            <a:rPr lang="en-GB" sz="1000" b="1" i="0" u="none" strike="noStrike" baseline="0">
              <a:solidFill>
                <a:srgbClr val="000000"/>
              </a:solidFill>
              <a:latin typeface="Arial"/>
              <a:cs typeface="Arial"/>
            </a:rPr>
            <a:t>Single Sample Analysis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Switch to the "Single Sample Data Input" sheet if it is not already active.  Enter the aperture sizes of the sieves or Laser Granulometer bins used in the analysis into the cells in column B.  Sizes may be entered either in ascending or descending numerical order.  For convenience, you can click on one of the standard sieve or Laser Granulometer size intervals and GRADISTAT will enter the size classes for you.  Any non-standard sieve sizes can be used, although some of the statistics may not be calculated if you have not used sieves with at least whole phi intervals.  See the section below if the sample contains unanalysed sediment, such as material retained in the pan after sieving.  At least one size class larger than the largest particles in the sample should also be entered.  A large area to the right of the data columns is provided for the cut and paste of data from other spreadsheets, such as the import of Laser Granulometer data.</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beside each size class in column C.  When you have finished, make sure there are no data further down the spreadsheet which could cause an error.  The program will accept data down to row 230.</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Enter the sample identity, analyst, date and initial sample weight (optional) at the top of the "Single Sample Data Input" sheet.</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4. Click the "Calculate Statistics" button and wait a few moments for the program to finish running.  When the dialog box appears, click "OK".</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5. The results are summarised on the "Single Sample Statistics" sheet, which includes a distribution histogram of the sample.  Select "Print..." from the file menu to print the Summary Statistics page.  The data is also shown on triangular diagrams on the "Gravel Sand Mud" and "Sand Silt Clay" sheets.  Further cumulative and distribution plots are given on other sheets.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Multiple Sample Analysis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Switch to the "Multiple Sample Data Input" sheet.  Enter the aperture sizes of the sieves or Laser Granulometer bins used in the analysis into the cells in column B.  The aperture sizes must be the same for all the samples.  Sizes may be entered either in ascending or descending numerical order.  For convenience, you can click on one of the standard sieve or Laser Granulometer size intervals and GRADISTAT will enter the size classes for you.  Any non-standard sieve sizes can be used, although some of the statistics may not be calculated if you have not used sieves with at least whole phi intervals.  See the section below if samples contain unanalysed sediment, such as material retained in the pan after sieving.  At least one size class larger than the largest particles in the sample should also be entered.</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in column C onwards.  Make sure there are no data further down the spreadsheet which could cause an error.  The program will accept data down to row 230.</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Enter the sample identity, analyst, date and initial sample weight (optional) in the green cells above each sample listing.</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4. If you require a Summary Statistics printout for each sample, select a tick in the option box.</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5. Click the "Calculate Statistics" button and wait for the program to finish running (this may take several minutes).  GRADISTAT will give a warning if it detects a sample whose combined weight is greater than the given sample weight.  Click "OK" when prompted on the dialog boxes.</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6. The resulting statistics for all samples are summarised on the "Multiple Sample Statistics" sheet.  The data for each sample included in the analysis are also shown on triangular diagrams on the "Gravel Sand Mud" and "Sand Silt Clay" sheets.  Cumulative and distribution plots will show the results for the last sample in the analysis.  If graphical plots for other samples are required, use separate single sample analyses (above).</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Unanalysed Sediment</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Occasionally, samples may contain sediment in a size fraction of unspecified size, such as material retained in the pan after sieving.  Ideally, the whole size range in a sample should be analysed, and this may require further analysis of sediment remaining in the pan after sieving.  The larger the quantity of sediment remaining in the pan, the less accurate the calculation of grain size statistics, with statistics calculated by the Method of Moments being most susceptible.  Errors in Folk and Ward parameters become significant only when more than 5% of the sample is undetermined.  If the sample contains sediment in the pan the user should do one of the following:</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Enter the weight or percentage of sample in the pan with a class size of zero (or leave the class size blank).  GRADISTAT calculates the statistics assuming all sediment in the pan is larger than 10 </a:t>
          </a:r>
          <a:r>
            <a:rPr lang="en-GB" sz="1000" b="0" i="0" u="none" strike="noStrike" baseline="0">
              <a:solidFill>
                <a:srgbClr val="000000"/>
              </a:solidFill>
              <a:latin typeface="Symbol"/>
            </a:rPr>
            <a:t>f</a:t>
          </a:r>
          <a:r>
            <a:rPr lang="en-GB" sz="1000" b="0" i="0" u="none" strike="noStrike" baseline="0">
              <a:solidFill>
                <a:srgbClr val="000000"/>
              </a:solidFill>
              <a:latin typeface="Arial"/>
              <a:cs typeface="Arial"/>
            </a:rPr>
            <a:t> (1 </a:t>
          </a:r>
          <a:r>
            <a:rPr lang="en-GB" sz="1000" b="0" i="0" u="none" strike="noStrike" baseline="0">
              <a:solidFill>
                <a:srgbClr val="000000"/>
              </a:solidFill>
              <a:latin typeface="Symbol"/>
            </a:rPr>
            <a:t>m</a:t>
          </a:r>
          <a:r>
            <a:rPr lang="en-GB" sz="1000" b="0" i="0" u="none" strike="noStrike" baseline="0">
              <a:solidFill>
                <a:srgbClr val="000000"/>
              </a:solidFill>
              <a:latin typeface="Arial"/>
              <a:cs typeface="Arial"/>
            </a:rPr>
            <a:t>m).  The grain size distribution graphs do not however plot the quantity of sediment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in the pan with a class size which the user considers to be the lower size limit of sediment in the pan.  GRADISTAT calculates the statistics assuming all sediment in the pan is larger than this value and plots this quantity on the grain size distribution graphs.</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The above two options are recommended where there is less than 1% of the sample remaining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Do not enter the quantity of sediment in the pan at all.  GRADISTAT calculates the statistics ignoring the sediment in the pan as if it were not present in the sample.  This is recommended where there is more than 1% of the sample remaining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Samples containing more than 5% of sediment in the pan should ideally be analysed using a different technique, such as sedimentation or laser granulometry.  Great care must however be taken when merging data obtained by different methods.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Graph Scales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The size scale used in graphical plots is dependent upon the range of sizes specified on the sample input sheets: the first and last values provide the extreme values on the graphs.  While one size class larger than the largest particles in the sample should be entered, other size classes outside the grain size range of the sample have no influence on the statistical calculations.  These classes may be deleted to narrow the size scale on graphs.  Note that unused size classes within the size range of the sample should also be deleted, otherwise GRADISTAT assumes that zero sample weight was present in those size classes.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Copyright Simon Blott (2020)</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254</xdr:row>
          <xdr:rowOff>57150</xdr:rowOff>
        </xdr:from>
        <xdr:to>
          <xdr:col>9</xdr:col>
          <xdr:colOff>142875</xdr:colOff>
          <xdr:row>300</xdr:row>
          <xdr:rowOff>9525</xdr:rowOff>
        </xdr:to>
        <xdr:sp macro="" textlink="">
          <xdr:nvSpPr>
            <xdr:cNvPr id="3078" name="Object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162</xdr:row>
      <xdr:rowOff>38100</xdr:rowOff>
    </xdr:from>
    <xdr:to>
      <xdr:col>10</xdr:col>
      <xdr:colOff>142875</xdr:colOff>
      <xdr:row>210</xdr:row>
      <xdr:rowOff>104775</xdr:rowOff>
    </xdr:to>
    <xdr:pic>
      <xdr:nvPicPr>
        <xdr:cNvPr id="23" name="Picture 22">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6412825"/>
          <a:ext cx="6238875" cy="783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211</xdr:row>
      <xdr:rowOff>28575</xdr:rowOff>
    </xdr:from>
    <xdr:to>
      <xdr:col>10</xdr:col>
      <xdr:colOff>57150</xdr:colOff>
      <xdr:row>252</xdr:row>
      <xdr:rowOff>85725</xdr:rowOff>
    </xdr:to>
    <xdr:pic>
      <xdr:nvPicPr>
        <xdr:cNvPr id="25" name="Picture 24">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34337625"/>
          <a:ext cx="6153150" cy="6696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3</xdr:row>
          <xdr:rowOff>9525</xdr:rowOff>
        </xdr:from>
        <xdr:to>
          <xdr:col>5</xdr:col>
          <xdr:colOff>381000</xdr:colOff>
          <xdr:row>7</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200" b="1" i="0" u="none" strike="noStrike" baseline="0">
                  <a:solidFill>
                    <a:srgbClr val="FF0000"/>
                  </a:solidFill>
                  <a:latin typeface="Arial"/>
                  <a:cs typeface="Arial"/>
                </a:rPr>
                <a:t>Calculate</a:t>
              </a:r>
            </a:p>
            <a:p>
              <a:pPr algn="ctr" rtl="0">
                <a:defRPr sz="1000"/>
              </a:pPr>
              <a:r>
                <a:rPr lang="en-GB" sz="1200" b="1" i="0" u="none" strike="noStrike" baseline="0">
                  <a:solidFill>
                    <a:srgbClr val="FF0000"/>
                  </a:solidFill>
                  <a:latin typeface="Arial"/>
                  <a:cs typeface="Arial"/>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247650</xdr:colOff>
          <xdr:row>3</xdr:row>
          <xdr:rowOff>19050</xdr:rowOff>
        </xdr:from>
        <xdr:to>
          <xdr:col>9</xdr:col>
          <xdr:colOff>352425</xdr:colOff>
          <xdr:row>4</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1000" b="1" i="0" u="none" strike="noStrike" baseline="0">
                  <a:solidFill>
                    <a:srgbClr val="3333CC"/>
                  </a:solidFill>
                  <a:latin typeface="Arial"/>
                  <a:cs typeface="Arial"/>
                </a:rPr>
                <a:t>Half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247650</xdr:colOff>
          <xdr:row>5</xdr:row>
          <xdr:rowOff>85725</xdr:rowOff>
        </xdr:from>
        <xdr:to>
          <xdr:col>9</xdr:col>
          <xdr:colOff>342900</xdr:colOff>
          <xdr:row>7</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1000" b="1" i="0" u="none" strike="noStrike" baseline="0">
                  <a:solidFill>
                    <a:srgbClr val="3333CC"/>
                  </a:solidFill>
                  <a:latin typeface="Arial"/>
                  <a:cs typeface="Arial"/>
                </a:rPr>
                <a:t>Quarter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257175</xdr:colOff>
          <xdr:row>7</xdr:row>
          <xdr:rowOff>104775</xdr:rowOff>
        </xdr:from>
        <xdr:to>
          <xdr:col>9</xdr:col>
          <xdr:colOff>352425</xdr:colOff>
          <xdr:row>9</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1000" b="1" i="0" u="none" strike="noStrike" baseline="0">
                  <a:solidFill>
                    <a:srgbClr val="3333CC"/>
                  </a:solidFill>
                  <a:latin typeface="Arial"/>
                  <a:cs typeface="Arial"/>
                </a:rPr>
                <a:t>Laser Granulometer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26</xdr:row>
      <xdr:rowOff>95250</xdr:rowOff>
    </xdr:from>
    <xdr:to>
      <xdr:col>15</xdr:col>
      <xdr:colOff>0</xdr:colOff>
      <xdr:row>56</xdr:row>
      <xdr:rowOff>0</xdr:rowOff>
    </xdr:to>
    <xdr:graphicFrame macro="">
      <xdr:nvGraphicFramePr>
        <xdr:cNvPr id="2049" name="Chart 1">
          <a:extLst>
            <a:ext uri="{FF2B5EF4-FFF2-40B4-BE49-F238E27FC236}">
              <a16:creationId xmlns:a16="http://schemas.microsoft.com/office/drawing/2014/main" id="{00000000-0008-0000-0200-000001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219075</xdr:colOff>
          <xdr:row>22</xdr:row>
          <xdr:rowOff>19050</xdr:rowOff>
        </xdr:to>
        <xdr:sp macro="" textlink="">
          <xdr:nvSpPr>
            <xdr:cNvPr id="2200" name="Object 152" hidden="1">
              <a:extLst>
                <a:ext uri="{63B3BB69-23CF-44E3-9099-C40C66FF867C}">
                  <a14:compatExt spid="_x0000_s2200"/>
                </a:ext>
                <a:ext uri="{FF2B5EF4-FFF2-40B4-BE49-F238E27FC236}">
                  <a16:creationId xmlns:a16="http://schemas.microsoft.com/office/drawing/2014/main" id="{00000000-0008-0000-0200-00009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142875</xdr:colOff>
      <xdr:row>2</xdr:row>
      <xdr:rowOff>304800</xdr:rowOff>
    </xdr:from>
    <xdr:to>
      <xdr:col>4</xdr:col>
      <xdr:colOff>790575</xdr:colOff>
      <xdr:row>2</xdr:row>
      <xdr:rowOff>876300</xdr:rowOff>
    </xdr:to>
    <xdr:sp macro="" textlink="">
      <xdr:nvSpPr>
        <xdr:cNvPr id="5132" name="Text Box 12">
          <a:extLst>
            <a:ext uri="{FF2B5EF4-FFF2-40B4-BE49-F238E27FC236}">
              <a16:creationId xmlns:a16="http://schemas.microsoft.com/office/drawing/2014/main" id="{00000000-0008-0000-0400-00000C140000}"/>
            </a:ext>
          </a:extLst>
        </xdr:cNvPr>
        <xdr:cNvSpPr txBox="1">
          <a:spLocks noChangeArrowheads="1"/>
        </xdr:cNvSpPr>
      </xdr:nvSpPr>
      <xdr:spPr bwMode="auto">
        <a:xfrm>
          <a:off x="3362325" y="695325"/>
          <a:ext cx="647700" cy="5715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Auto. add</a:t>
          </a:r>
        </a:p>
        <a:p>
          <a:pPr algn="l" rtl="0">
            <a:defRPr sz="1000"/>
          </a:pPr>
          <a:r>
            <a:rPr lang="en-GB" sz="1000" b="0" i="0" u="none" strike="noStrike" baseline="0">
              <a:solidFill>
                <a:srgbClr val="000000"/>
              </a:solidFill>
              <a:latin typeface="Arial"/>
              <a:cs typeface="Arial"/>
            </a:rPr>
            <a:t>apertures</a:t>
          </a:r>
        </a:p>
        <a:p>
          <a:pPr algn="l" rtl="0">
            <a:defRPr sz="1000"/>
          </a:pPr>
          <a:r>
            <a:rPr lang="en-GB" sz="1000" b="0" i="0" u="none" strike="noStrike" baseline="0">
              <a:solidFill>
                <a:srgbClr val="000000"/>
              </a:solidFill>
              <a:latin typeface="Arial"/>
              <a:cs typeface="Arial"/>
            </a:rPr>
            <a:t>at:</a:t>
          </a:r>
        </a:p>
      </xdr:txBody>
    </xdr:sp>
    <xdr:clientData/>
  </xdr:twoCellAnchor>
  <mc:AlternateContent xmlns:mc="http://schemas.openxmlformats.org/markup-compatibility/2006">
    <mc:Choice xmlns:a14="http://schemas.microsoft.com/office/drawing/2010/main" Requires="a14">
      <xdr:twoCellAnchor editAs="absolute">
        <xdr:from>
          <xdr:col>1</xdr:col>
          <xdr:colOff>266700</xdr:colOff>
          <xdr:row>2</xdr:row>
          <xdr:rowOff>47625</xdr:rowOff>
        </xdr:from>
        <xdr:to>
          <xdr:col>2</xdr:col>
          <xdr:colOff>219075</xdr:colOff>
          <xdr:row>2</xdr:row>
          <xdr:rowOff>733425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200" b="1" i="0" u="none" strike="noStrike" baseline="0">
                  <a:solidFill>
                    <a:srgbClr val="FF0000"/>
                  </a:solidFill>
                  <a:latin typeface="Arial"/>
                  <a:cs typeface="Arial"/>
                </a:rPr>
                <a:t>Calculate</a:t>
              </a:r>
            </a:p>
            <a:p>
              <a:pPr algn="ctr" rtl="0">
                <a:defRPr sz="1000"/>
              </a:pPr>
              <a:r>
                <a:rPr lang="en-GB" sz="1200" b="1" i="0" u="none" strike="noStrike" baseline="0">
                  <a:solidFill>
                    <a:srgbClr val="FF0000"/>
                  </a:solidFill>
                  <a:latin typeface="Arial"/>
                  <a:cs typeface="Arial"/>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142875</xdr:colOff>
          <xdr:row>2</xdr:row>
          <xdr:rowOff>76200</xdr:rowOff>
        </xdr:from>
        <xdr:to>
          <xdr:col>7</xdr:col>
          <xdr:colOff>104775</xdr:colOff>
          <xdr:row>2</xdr:row>
          <xdr:rowOff>361950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1000" b="1" i="0" u="none" strike="noStrike" baseline="0">
                  <a:solidFill>
                    <a:srgbClr val="3333CC"/>
                  </a:solidFill>
                  <a:latin typeface="Arial"/>
                  <a:cs typeface="Arial"/>
                </a:rPr>
                <a:t>Half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142875</xdr:colOff>
          <xdr:row>2</xdr:row>
          <xdr:rowOff>485775</xdr:rowOff>
        </xdr:from>
        <xdr:to>
          <xdr:col>7</xdr:col>
          <xdr:colOff>95250</xdr:colOff>
          <xdr:row>2</xdr:row>
          <xdr:rowOff>742950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1000" b="1" i="0" u="none" strike="noStrike" baseline="0">
                  <a:solidFill>
                    <a:srgbClr val="3333CC"/>
                  </a:solidFill>
                  <a:latin typeface="Arial"/>
                  <a:cs typeface="Arial"/>
                </a:rPr>
                <a:t>Quarter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133350</xdr:colOff>
          <xdr:row>2</xdr:row>
          <xdr:rowOff>857250</xdr:rowOff>
        </xdr:from>
        <xdr:to>
          <xdr:col>7</xdr:col>
          <xdr:colOff>95250</xdr:colOff>
          <xdr:row>3</xdr:row>
          <xdr:rowOff>28575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1000" b="1" i="0" u="none" strike="noStrike" baseline="0">
                  <a:solidFill>
                    <a:srgbClr val="3333CC"/>
                  </a:solidFill>
                  <a:latin typeface="Arial"/>
                  <a:cs typeface="Arial"/>
                </a:rPr>
                <a:t>Laser Granulometer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2</xdr:row>
          <xdr:rowOff>809625</xdr:rowOff>
        </xdr:from>
        <xdr:to>
          <xdr:col>3</xdr:col>
          <xdr:colOff>638175</xdr:colOff>
          <xdr:row>2</xdr:row>
          <xdr:rowOff>1028700</xdr:rowOff>
        </xdr:to>
        <xdr:sp macro="" textlink="">
          <xdr:nvSpPr>
            <xdr:cNvPr id="5129" name="CheckBox1"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619125</xdr:colOff>
          <xdr:row>10</xdr:row>
          <xdr:rowOff>0</xdr:rowOff>
        </xdr:from>
        <xdr:to>
          <xdr:col>1</xdr:col>
          <xdr:colOff>952500</xdr:colOff>
          <xdr:row>11</xdr:row>
          <xdr:rowOff>19050</xdr:rowOff>
        </xdr:to>
        <xdr:sp macro="" textlink="">
          <xdr:nvSpPr>
            <xdr:cNvPr id="6165" name="Object 21"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9</xdr:row>
          <xdr:rowOff>0</xdr:rowOff>
        </xdr:from>
        <xdr:to>
          <xdr:col>1</xdr:col>
          <xdr:colOff>714375</xdr:colOff>
          <xdr:row>10</xdr:row>
          <xdr:rowOff>19050</xdr:rowOff>
        </xdr:to>
        <xdr:sp macro="" textlink="">
          <xdr:nvSpPr>
            <xdr:cNvPr id="6166" name="Object 22"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11</xdr:row>
          <xdr:rowOff>0</xdr:rowOff>
        </xdr:from>
        <xdr:to>
          <xdr:col>1</xdr:col>
          <xdr:colOff>1152525</xdr:colOff>
          <xdr:row>12</xdr:row>
          <xdr:rowOff>19050</xdr:rowOff>
        </xdr:to>
        <xdr:sp macro="" textlink="">
          <xdr:nvSpPr>
            <xdr:cNvPr id="6167" name="Object 23" hidden="1">
              <a:extLst>
                <a:ext uri="{63B3BB69-23CF-44E3-9099-C40C66FF867C}">
                  <a14:compatExt spid="_x0000_s6167"/>
                </a:ext>
                <a:ext uri="{FF2B5EF4-FFF2-40B4-BE49-F238E27FC236}">
                  <a16:creationId xmlns:a16="http://schemas.microsoft.com/office/drawing/2014/main" id="{00000000-0008-0000-05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12</xdr:row>
          <xdr:rowOff>0</xdr:rowOff>
        </xdr:from>
        <xdr:to>
          <xdr:col>1</xdr:col>
          <xdr:colOff>1038225</xdr:colOff>
          <xdr:row>13</xdr:row>
          <xdr:rowOff>19050</xdr:rowOff>
        </xdr:to>
        <xdr:sp macro="" textlink="">
          <xdr:nvSpPr>
            <xdr:cNvPr id="6168" name="Object 24" hidden="1">
              <a:extLst>
                <a:ext uri="{63B3BB69-23CF-44E3-9099-C40C66FF867C}">
                  <a14:compatExt spid="_x0000_s6168"/>
                </a:ext>
                <a:ext uri="{FF2B5EF4-FFF2-40B4-BE49-F238E27FC236}">
                  <a16:creationId xmlns:a16="http://schemas.microsoft.com/office/drawing/2014/main" id="{00000000-0008-0000-05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13</xdr:row>
          <xdr:rowOff>0</xdr:rowOff>
        </xdr:from>
        <xdr:to>
          <xdr:col>1</xdr:col>
          <xdr:colOff>723900</xdr:colOff>
          <xdr:row>14</xdr:row>
          <xdr:rowOff>28575</xdr:rowOff>
        </xdr:to>
        <xdr:sp macro="" textlink="">
          <xdr:nvSpPr>
            <xdr:cNvPr id="6169" name="Object 25" hidden="1">
              <a:extLst>
                <a:ext uri="{63B3BB69-23CF-44E3-9099-C40C66FF867C}">
                  <a14:compatExt spid="_x0000_s6169"/>
                </a:ext>
                <a:ext uri="{FF2B5EF4-FFF2-40B4-BE49-F238E27FC236}">
                  <a16:creationId xmlns:a16="http://schemas.microsoft.com/office/drawing/2014/main" id="{00000000-0008-0000-05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619125</xdr:colOff>
          <xdr:row>14</xdr:row>
          <xdr:rowOff>0</xdr:rowOff>
        </xdr:from>
        <xdr:to>
          <xdr:col>1</xdr:col>
          <xdr:colOff>962025</xdr:colOff>
          <xdr:row>15</xdr:row>
          <xdr:rowOff>28575</xdr:rowOff>
        </xdr:to>
        <xdr:sp macro="" textlink="">
          <xdr:nvSpPr>
            <xdr:cNvPr id="6170" name="Object 26" hidden="1">
              <a:extLst>
                <a:ext uri="{63B3BB69-23CF-44E3-9099-C40C66FF867C}">
                  <a14:compatExt spid="_x0000_s6170"/>
                </a:ext>
                <a:ext uri="{FF2B5EF4-FFF2-40B4-BE49-F238E27FC236}">
                  <a16:creationId xmlns:a16="http://schemas.microsoft.com/office/drawing/2014/main" id="{00000000-0008-0000-05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15</xdr:row>
          <xdr:rowOff>0</xdr:rowOff>
        </xdr:from>
        <xdr:to>
          <xdr:col>1</xdr:col>
          <xdr:colOff>1152525</xdr:colOff>
          <xdr:row>16</xdr:row>
          <xdr:rowOff>28575</xdr:rowOff>
        </xdr:to>
        <xdr:sp macro="" textlink="">
          <xdr:nvSpPr>
            <xdr:cNvPr id="6171" name="Object 27" hidden="1">
              <a:extLst>
                <a:ext uri="{63B3BB69-23CF-44E3-9099-C40C66FF867C}">
                  <a14:compatExt spid="_x0000_s6171"/>
                </a:ext>
                <a:ext uri="{FF2B5EF4-FFF2-40B4-BE49-F238E27FC236}">
                  <a16:creationId xmlns:a16="http://schemas.microsoft.com/office/drawing/2014/main" id="{00000000-0008-0000-05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16</xdr:row>
          <xdr:rowOff>0</xdr:rowOff>
        </xdr:from>
        <xdr:to>
          <xdr:col>1</xdr:col>
          <xdr:colOff>1038225</xdr:colOff>
          <xdr:row>17</xdr:row>
          <xdr:rowOff>28575</xdr:rowOff>
        </xdr:to>
        <xdr:sp macro="" textlink="">
          <xdr:nvSpPr>
            <xdr:cNvPr id="6172" name="Object 28" hidden="1">
              <a:extLst>
                <a:ext uri="{63B3BB69-23CF-44E3-9099-C40C66FF867C}">
                  <a14:compatExt spid="_x0000_s6172"/>
                </a:ext>
                <a:ext uri="{FF2B5EF4-FFF2-40B4-BE49-F238E27FC236}">
                  <a16:creationId xmlns:a16="http://schemas.microsoft.com/office/drawing/2014/main" id="{00000000-0008-0000-05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17</xdr:row>
          <xdr:rowOff>0</xdr:rowOff>
        </xdr:from>
        <xdr:to>
          <xdr:col>1</xdr:col>
          <xdr:colOff>714375</xdr:colOff>
          <xdr:row>18</xdr:row>
          <xdr:rowOff>28575</xdr:rowOff>
        </xdr:to>
        <xdr:sp macro="" textlink="">
          <xdr:nvSpPr>
            <xdr:cNvPr id="6173" name="Object 29" hidden="1">
              <a:extLst>
                <a:ext uri="{63B3BB69-23CF-44E3-9099-C40C66FF867C}">
                  <a14:compatExt spid="_x0000_s6173"/>
                </a:ext>
                <a:ext uri="{FF2B5EF4-FFF2-40B4-BE49-F238E27FC236}">
                  <a16:creationId xmlns:a16="http://schemas.microsoft.com/office/drawing/2014/main" id="{00000000-0008-0000-05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619125</xdr:colOff>
          <xdr:row>18</xdr:row>
          <xdr:rowOff>0</xdr:rowOff>
        </xdr:from>
        <xdr:to>
          <xdr:col>1</xdr:col>
          <xdr:colOff>952500</xdr:colOff>
          <xdr:row>19</xdr:row>
          <xdr:rowOff>28575</xdr:rowOff>
        </xdr:to>
        <xdr:sp macro="" textlink="">
          <xdr:nvSpPr>
            <xdr:cNvPr id="6175" name="Object 31" hidden="1">
              <a:extLst>
                <a:ext uri="{63B3BB69-23CF-44E3-9099-C40C66FF867C}">
                  <a14:compatExt spid="_x0000_s6175"/>
                </a:ext>
                <a:ext uri="{FF2B5EF4-FFF2-40B4-BE49-F238E27FC236}">
                  <a16:creationId xmlns:a16="http://schemas.microsoft.com/office/drawing/2014/main" id="{00000000-0008-0000-05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19</xdr:row>
          <xdr:rowOff>0</xdr:rowOff>
        </xdr:from>
        <xdr:to>
          <xdr:col>1</xdr:col>
          <xdr:colOff>1133475</xdr:colOff>
          <xdr:row>20</xdr:row>
          <xdr:rowOff>28575</xdr:rowOff>
        </xdr:to>
        <xdr:sp macro="" textlink="">
          <xdr:nvSpPr>
            <xdr:cNvPr id="6176" name="Object 32" hidden="1">
              <a:extLst>
                <a:ext uri="{63B3BB69-23CF-44E3-9099-C40C66FF867C}">
                  <a14:compatExt spid="_x0000_s6176"/>
                </a:ext>
                <a:ext uri="{FF2B5EF4-FFF2-40B4-BE49-F238E27FC236}">
                  <a16:creationId xmlns:a16="http://schemas.microsoft.com/office/drawing/2014/main" id="{00000000-0008-0000-05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704850</xdr:colOff>
          <xdr:row>20</xdr:row>
          <xdr:rowOff>0</xdr:rowOff>
        </xdr:from>
        <xdr:to>
          <xdr:col>1</xdr:col>
          <xdr:colOff>1047750</xdr:colOff>
          <xdr:row>21</xdr:row>
          <xdr:rowOff>28575</xdr:rowOff>
        </xdr:to>
        <xdr:sp macro="" textlink="">
          <xdr:nvSpPr>
            <xdr:cNvPr id="6177" name="Object 33" hidden="1">
              <a:extLst>
                <a:ext uri="{63B3BB69-23CF-44E3-9099-C40C66FF867C}">
                  <a14:compatExt spid="_x0000_s6177"/>
                </a:ext>
                <a:ext uri="{FF2B5EF4-FFF2-40B4-BE49-F238E27FC236}">
                  <a16:creationId xmlns:a16="http://schemas.microsoft.com/office/drawing/2014/main" id="{00000000-0008-0000-05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25</xdr:row>
          <xdr:rowOff>0</xdr:rowOff>
        </xdr:from>
        <xdr:to>
          <xdr:col>1</xdr:col>
          <xdr:colOff>790575</xdr:colOff>
          <xdr:row>26</xdr:row>
          <xdr:rowOff>19050</xdr:rowOff>
        </xdr:to>
        <xdr:sp macro="" textlink="">
          <xdr:nvSpPr>
            <xdr:cNvPr id="6178" name="Object 34" hidden="1">
              <a:extLst>
                <a:ext uri="{63B3BB69-23CF-44E3-9099-C40C66FF867C}">
                  <a14:compatExt spid="_x0000_s6178"/>
                </a:ext>
                <a:ext uri="{FF2B5EF4-FFF2-40B4-BE49-F238E27FC236}">
                  <a16:creationId xmlns:a16="http://schemas.microsoft.com/office/drawing/2014/main" id="{00000000-0008-0000-05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619125</xdr:colOff>
          <xdr:row>26</xdr:row>
          <xdr:rowOff>0</xdr:rowOff>
        </xdr:from>
        <xdr:to>
          <xdr:col>1</xdr:col>
          <xdr:colOff>952500</xdr:colOff>
          <xdr:row>27</xdr:row>
          <xdr:rowOff>19050</xdr:rowOff>
        </xdr:to>
        <xdr:sp macro="" textlink="">
          <xdr:nvSpPr>
            <xdr:cNvPr id="6180" name="Object 36" hidden="1">
              <a:extLst>
                <a:ext uri="{63B3BB69-23CF-44E3-9099-C40C66FF867C}">
                  <a14:compatExt spid="_x0000_s6180"/>
                </a:ext>
                <a:ext uri="{FF2B5EF4-FFF2-40B4-BE49-F238E27FC236}">
                  <a16:creationId xmlns:a16="http://schemas.microsoft.com/office/drawing/2014/main" id="{00000000-0008-0000-05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27</xdr:row>
          <xdr:rowOff>0</xdr:rowOff>
        </xdr:from>
        <xdr:to>
          <xdr:col>1</xdr:col>
          <xdr:colOff>1152525</xdr:colOff>
          <xdr:row>28</xdr:row>
          <xdr:rowOff>19050</xdr:rowOff>
        </xdr:to>
        <xdr:sp macro="" textlink="">
          <xdr:nvSpPr>
            <xdr:cNvPr id="6181" name="Object 37" hidden="1">
              <a:extLst>
                <a:ext uri="{63B3BB69-23CF-44E3-9099-C40C66FF867C}">
                  <a14:compatExt spid="_x0000_s6181"/>
                </a:ext>
                <a:ext uri="{FF2B5EF4-FFF2-40B4-BE49-F238E27FC236}">
                  <a16:creationId xmlns:a16="http://schemas.microsoft.com/office/drawing/2014/main" id="{00000000-0008-0000-05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28</xdr:row>
          <xdr:rowOff>0</xdr:rowOff>
        </xdr:from>
        <xdr:to>
          <xdr:col>1</xdr:col>
          <xdr:colOff>1047750</xdr:colOff>
          <xdr:row>29</xdr:row>
          <xdr:rowOff>19050</xdr:rowOff>
        </xdr:to>
        <xdr:sp macro="" textlink="">
          <xdr:nvSpPr>
            <xdr:cNvPr id="6182" name="Object 38" hidden="1">
              <a:extLst>
                <a:ext uri="{63B3BB69-23CF-44E3-9099-C40C66FF867C}">
                  <a14:compatExt spid="_x0000_s6182"/>
                </a:ext>
                <a:ext uri="{FF2B5EF4-FFF2-40B4-BE49-F238E27FC236}">
                  <a16:creationId xmlns:a16="http://schemas.microsoft.com/office/drawing/2014/main" id="{00000000-0008-0000-05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24</xdr:row>
          <xdr:rowOff>0</xdr:rowOff>
        </xdr:from>
        <xdr:to>
          <xdr:col>1</xdr:col>
          <xdr:colOff>1047750</xdr:colOff>
          <xdr:row>25</xdr:row>
          <xdr:rowOff>19050</xdr:rowOff>
        </xdr:to>
        <xdr:sp macro="" textlink="">
          <xdr:nvSpPr>
            <xdr:cNvPr id="6186" name="Object 42" hidden="1">
              <a:extLst>
                <a:ext uri="{63B3BB69-23CF-44E3-9099-C40C66FF867C}">
                  <a14:compatExt spid="_x0000_s6186"/>
                </a:ext>
                <a:ext uri="{FF2B5EF4-FFF2-40B4-BE49-F238E27FC236}">
                  <a16:creationId xmlns:a16="http://schemas.microsoft.com/office/drawing/2014/main" id="{00000000-0008-0000-05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21</xdr:row>
          <xdr:rowOff>0</xdr:rowOff>
        </xdr:from>
        <xdr:to>
          <xdr:col>1</xdr:col>
          <xdr:colOff>790575</xdr:colOff>
          <xdr:row>22</xdr:row>
          <xdr:rowOff>19050</xdr:rowOff>
        </xdr:to>
        <xdr:sp macro="" textlink="">
          <xdr:nvSpPr>
            <xdr:cNvPr id="6187" name="Object 43" hidden="1">
              <a:extLst>
                <a:ext uri="{63B3BB69-23CF-44E3-9099-C40C66FF867C}">
                  <a14:compatExt spid="_x0000_s6187"/>
                </a:ext>
                <a:ext uri="{FF2B5EF4-FFF2-40B4-BE49-F238E27FC236}">
                  <a16:creationId xmlns:a16="http://schemas.microsoft.com/office/drawing/2014/main" id="{00000000-0008-0000-05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22</xdr:row>
          <xdr:rowOff>0</xdr:rowOff>
        </xdr:from>
        <xdr:to>
          <xdr:col>1</xdr:col>
          <xdr:colOff>971550</xdr:colOff>
          <xdr:row>23</xdr:row>
          <xdr:rowOff>19050</xdr:rowOff>
        </xdr:to>
        <xdr:sp macro="" textlink="">
          <xdr:nvSpPr>
            <xdr:cNvPr id="6188" name="Object 44" hidden="1">
              <a:extLst>
                <a:ext uri="{63B3BB69-23CF-44E3-9099-C40C66FF867C}">
                  <a14:compatExt spid="_x0000_s6188"/>
                </a:ext>
                <a:ext uri="{FF2B5EF4-FFF2-40B4-BE49-F238E27FC236}">
                  <a16:creationId xmlns:a16="http://schemas.microsoft.com/office/drawing/2014/main" id="{00000000-0008-0000-05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23</xdr:row>
          <xdr:rowOff>0</xdr:rowOff>
        </xdr:from>
        <xdr:to>
          <xdr:col>1</xdr:col>
          <xdr:colOff>1162050</xdr:colOff>
          <xdr:row>24</xdr:row>
          <xdr:rowOff>19050</xdr:rowOff>
        </xdr:to>
        <xdr:sp macro="" textlink="">
          <xdr:nvSpPr>
            <xdr:cNvPr id="6189" name="Object 45" hidden="1">
              <a:extLst>
                <a:ext uri="{63B3BB69-23CF-44E3-9099-C40C66FF867C}">
                  <a14:compatExt spid="_x0000_s6189"/>
                </a:ext>
                <a:ext uri="{FF2B5EF4-FFF2-40B4-BE49-F238E27FC236}">
                  <a16:creationId xmlns:a16="http://schemas.microsoft.com/office/drawing/2014/main" id="{00000000-0008-0000-05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0.12725</cdr:x>
      <cdr:y>0.043</cdr:y>
    </cdr:from>
    <cdr:to>
      <cdr:x>0.76825</cdr:x>
      <cdr:y>0.956</cdr:y>
    </cdr:to>
    <cdr:sp macro="" textlink="">
      <cdr:nvSpPr>
        <cdr:cNvPr id="4097" name="Drawing 1"/>
        <cdr:cNvSpPr>
          <a:spLocks xmlns:a="http://schemas.openxmlformats.org/drawingml/2006/main"/>
        </cdr:cNvSpPr>
      </cdr:nvSpPr>
      <cdr:spPr bwMode="auto">
        <a:xfrm xmlns:a="http://schemas.openxmlformats.org/drawingml/2006/main">
          <a:off x="1172058" y="241649"/>
          <a:ext cx="5904043" cy="5130832"/>
        </a:xfrm>
        <a:custGeom xmlns:a="http://schemas.openxmlformats.org/drawingml/2006/main">
          <a:avLst/>
          <a:gdLst/>
          <a:ahLst/>
          <a:cxnLst>
            <a:cxn ang="0">
              <a:pos x="0" y="16384"/>
            </a:cxn>
            <a:cxn ang="0">
              <a:pos x="8194" y="0"/>
            </a:cxn>
            <a:cxn ang="0">
              <a:pos x="16384" y="16379"/>
            </a:cxn>
            <a:cxn ang="0">
              <a:pos x="0" y="16384"/>
            </a:cxn>
          </a:cxnLst>
          <a:rect l="0" t="0" r="r" b="b"/>
          <a:pathLst>
            <a:path w="16384" h="16384">
              <a:moveTo>
                <a:pt x="0" y="16384"/>
              </a:moveTo>
              <a:lnTo>
                <a:pt x="8194" y="0"/>
              </a:lnTo>
              <a:lnTo>
                <a:pt x="16384" y="16379"/>
              </a:lnTo>
              <a:lnTo>
                <a:pt x="0" y="16384"/>
              </a:lnTo>
              <a:close/>
            </a:path>
          </a:pathLst>
        </a:custGeom>
        <a:noFill xmlns:a="http://schemas.openxmlformats.org/drawingml/2006/main"/>
        <a:ln xmlns:a="http://schemas.openxmlformats.org/drawingml/2006/main" w="9525">
          <a:solidFill>
            <a:srgbClr val="000000"/>
          </a:solidFill>
          <a:prstDash val="solid"/>
          <a:round/>
          <a:headEnd/>
          <a:tailEnd/>
        </a:ln>
      </cdr:spPr>
    </cdr:sp>
  </cdr:relSizeAnchor>
  <cdr:relSizeAnchor xmlns:cdr="http://schemas.openxmlformats.org/drawingml/2006/chartDrawing">
    <cdr:from>
      <cdr:x>0.14275</cdr:x>
      <cdr:y>0.9105</cdr:y>
    </cdr:from>
    <cdr:to>
      <cdr:x>0.75075</cdr:x>
      <cdr:y>0.9105</cdr:y>
    </cdr:to>
    <cdr:sp macro="" textlink="">
      <cdr:nvSpPr>
        <cdr:cNvPr id="4098" name="Line 2"/>
        <cdr:cNvSpPr>
          <a:spLocks xmlns:a="http://schemas.openxmlformats.org/drawingml/2006/main" noChangeShapeType="1"/>
        </cdr:cNvSpPr>
      </cdr:nvSpPr>
      <cdr:spPr bwMode="auto">
        <a:xfrm xmlns:a="http://schemas.openxmlformats.org/drawingml/2006/main">
          <a:off x="1314824" y="5116782"/>
          <a:ext cx="5600090"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0.175</cdr:x>
      <cdr:y>0.81975</cdr:y>
    </cdr:from>
    <cdr:to>
      <cdr:x>0.7195</cdr:x>
      <cdr:y>0.81975</cdr:y>
    </cdr:to>
    <cdr:sp macro="" textlink="">
      <cdr:nvSpPr>
        <cdr:cNvPr id="4099" name="Line 3"/>
        <cdr:cNvSpPr>
          <a:spLocks xmlns:a="http://schemas.openxmlformats.org/drawingml/2006/main" noChangeShapeType="1"/>
        </cdr:cNvSpPr>
      </cdr:nvSpPr>
      <cdr:spPr bwMode="auto">
        <a:xfrm xmlns:a="http://schemas.openxmlformats.org/drawingml/2006/main">
          <a:off x="1611868" y="4606790"/>
          <a:ext cx="5015213"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0.23825</cdr:x>
      <cdr:y>0.63425</cdr:y>
    </cdr:from>
    <cdr:to>
      <cdr:x>0.65225</cdr:x>
      <cdr:y>0.63425</cdr:y>
    </cdr:to>
    <cdr:sp macro="" textlink="">
      <cdr:nvSpPr>
        <cdr:cNvPr id="4100" name="Line 4"/>
        <cdr:cNvSpPr>
          <a:spLocks xmlns:a="http://schemas.openxmlformats.org/drawingml/2006/main" noChangeShapeType="1"/>
        </cdr:cNvSpPr>
      </cdr:nvSpPr>
      <cdr:spPr bwMode="auto">
        <a:xfrm xmlns:a="http://schemas.openxmlformats.org/drawingml/2006/main">
          <a:off x="2194443" y="3564326"/>
          <a:ext cx="3813220"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0.3825</cdr:x>
      <cdr:y>0.22275</cdr:y>
    </cdr:from>
    <cdr:to>
      <cdr:x>0.51</cdr:x>
      <cdr:y>0.22375</cdr:y>
    </cdr:to>
    <cdr:sp macro="" textlink="">
      <cdr:nvSpPr>
        <cdr:cNvPr id="4101" name="Line 5"/>
        <cdr:cNvSpPr>
          <a:spLocks xmlns:a="http://schemas.openxmlformats.org/drawingml/2006/main" noChangeShapeType="1"/>
        </cdr:cNvSpPr>
      </cdr:nvSpPr>
      <cdr:spPr bwMode="auto">
        <a:xfrm xmlns:a="http://schemas.openxmlformats.org/drawingml/2006/main" flipV="1">
          <a:off x="3523083" y="1251799"/>
          <a:ext cx="1174361" cy="562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0.2235</cdr:x>
      <cdr:y>0.81975</cdr:y>
    </cdr:from>
    <cdr:to>
      <cdr:x>0.25575</cdr:x>
      <cdr:y>0.956</cdr:y>
    </cdr:to>
    <cdr:sp macro="" textlink="">
      <cdr:nvSpPr>
        <cdr:cNvPr id="4102" name="Line 6"/>
        <cdr:cNvSpPr>
          <a:spLocks xmlns:a="http://schemas.openxmlformats.org/drawingml/2006/main" noChangeShapeType="1"/>
        </cdr:cNvSpPr>
      </cdr:nvSpPr>
      <cdr:spPr bwMode="auto">
        <a:xfrm xmlns:a="http://schemas.openxmlformats.org/drawingml/2006/main" flipV="1">
          <a:off x="2058586" y="4606790"/>
          <a:ext cx="297044" cy="765691"/>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0.44575</cdr:x>
      <cdr:y>0.22375</cdr:y>
    </cdr:from>
    <cdr:to>
      <cdr:x>0.44575</cdr:x>
      <cdr:y>0.956</cdr:y>
    </cdr:to>
    <cdr:sp macro="" textlink="">
      <cdr:nvSpPr>
        <cdr:cNvPr id="4103" name="Line 7"/>
        <cdr:cNvSpPr>
          <a:spLocks xmlns:a="http://schemas.openxmlformats.org/drawingml/2006/main" noChangeShapeType="1"/>
        </cdr:cNvSpPr>
      </cdr:nvSpPr>
      <cdr:spPr bwMode="auto">
        <a:xfrm xmlns:a="http://schemas.openxmlformats.org/drawingml/2006/main" flipH="1" flipV="1">
          <a:off x="4105658" y="1257419"/>
          <a:ext cx="0" cy="411506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0.4905</cdr:x>
      <cdr:y>0.22375</cdr:y>
    </cdr:from>
    <cdr:to>
      <cdr:x>0.66975</cdr:x>
      <cdr:y>0.956</cdr:y>
    </cdr:to>
    <cdr:sp macro="" textlink="">
      <cdr:nvSpPr>
        <cdr:cNvPr id="4104" name="Line 8"/>
        <cdr:cNvSpPr>
          <a:spLocks xmlns:a="http://schemas.openxmlformats.org/drawingml/2006/main" noChangeShapeType="1"/>
        </cdr:cNvSpPr>
      </cdr:nvSpPr>
      <cdr:spPr bwMode="auto">
        <a:xfrm xmlns:a="http://schemas.openxmlformats.org/drawingml/2006/main" flipH="1" flipV="1">
          <a:off x="4517836" y="1257419"/>
          <a:ext cx="1651014" cy="411506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0.76825</cdr:x>
      <cdr:y>0.9415</cdr:y>
    </cdr:from>
    <cdr:to>
      <cdr:x>0.8345</cdr:x>
      <cdr:y>0.9755</cdr:y>
    </cdr:to>
    <cdr:sp macro="" textlink="">
      <cdr:nvSpPr>
        <cdr:cNvPr id="4105" name="Text 9"/>
        <cdr:cNvSpPr txBox="1">
          <a:spLocks xmlns:a="http://schemas.openxmlformats.org/drawingml/2006/main" noChangeArrowheads="1"/>
        </cdr:cNvSpPr>
      </cdr:nvSpPr>
      <cdr:spPr bwMode="auto">
        <a:xfrm xmlns:a="http://schemas.openxmlformats.org/drawingml/2006/main">
          <a:off x="7076101" y="5290995"/>
          <a:ext cx="610207"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Sand</a:t>
          </a:r>
        </a:p>
      </cdr:txBody>
    </cdr:sp>
  </cdr:relSizeAnchor>
  <cdr:relSizeAnchor xmlns:cdr="http://schemas.openxmlformats.org/drawingml/2006/chartDrawing">
    <cdr:from>
      <cdr:x>0.08725</cdr:x>
      <cdr:y>0.9415</cdr:y>
    </cdr:from>
    <cdr:to>
      <cdr:x>0.141</cdr:x>
      <cdr:y>0.9755</cdr:y>
    </cdr:to>
    <cdr:sp macro="" textlink="">
      <cdr:nvSpPr>
        <cdr:cNvPr id="4106" name="Text 10"/>
        <cdr:cNvSpPr txBox="1">
          <a:spLocks xmlns:a="http://schemas.openxmlformats.org/drawingml/2006/main" noChangeArrowheads="1"/>
        </cdr:cNvSpPr>
      </cdr:nvSpPr>
      <cdr:spPr bwMode="auto">
        <a:xfrm xmlns:a="http://schemas.openxmlformats.org/drawingml/2006/main">
          <a:off x="803631" y="5290995"/>
          <a:ext cx="495074"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Mud</a:t>
          </a:r>
        </a:p>
      </cdr:txBody>
    </cdr:sp>
  </cdr:relSizeAnchor>
  <cdr:relSizeAnchor xmlns:cdr="http://schemas.openxmlformats.org/drawingml/2006/chartDrawing">
    <cdr:from>
      <cdr:x>0.4195</cdr:x>
      <cdr:y>0.01475</cdr:y>
    </cdr:from>
    <cdr:to>
      <cdr:x>0.49075</cdr:x>
      <cdr:y>0.04875</cdr:y>
    </cdr:to>
    <cdr:sp macro="" textlink="">
      <cdr:nvSpPr>
        <cdr:cNvPr id="4107" name="Text 11"/>
        <cdr:cNvSpPr txBox="1">
          <a:spLocks xmlns:a="http://schemas.openxmlformats.org/drawingml/2006/main" noChangeArrowheads="1"/>
        </cdr:cNvSpPr>
      </cdr:nvSpPr>
      <cdr:spPr bwMode="auto">
        <a:xfrm xmlns:a="http://schemas.openxmlformats.org/drawingml/2006/main">
          <a:off x="3863878" y="82891"/>
          <a:ext cx="656261"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Gravel</a:t>
          </a:r>
        </a:p>
      </cdr:txBody>
    </cdr:sp>
  </cdr:relSizeAnchor>
  <cdr:relSizeAnchor xmlns:cdr="http://schemas.openxmlformats.org/drawingml/2006/chartDrawing">
    <cdr:from>
      <cdr:x>0.35025</cdr:x>
      <cdr:y>0.20925</cdr:y>
    </cdr:from>
    <cdr:to>
      <cdr:x>0.3875</cdr:x>
      <cdr:y>0.24325</cdr:y>
    </cdr:to>
    <cdr:sp macro="" textlink="">
      <cdr:nvSpPr>
        <cdr:cNvPr id="4108" name="Text 12"/>
        <cdr:cNvSpPr txBox="1">
          <a:spLocks xmlns:a="http://schemas.openxmlformats.org/drawingml/2006/main" noChangeArrowheads="1"/>
        </cdr:cNvSpPr>
      </cdr:nvSpPr>
      <cdr:spPr bwMode="auto">
        <a:xfrm xmlns:a="http://schemas.openxmlformats.org/drawingml/2006/main">
          <a:off x="3226039" y="1175933"/>
          <a:ext cx="343098"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80%</a:t>
          </a:r>
        </a:p>
      </cdr:txBody>
    </cdr:sp>
  </cdr:relSizeAnchor>
  <cdr:relSizeAnchor xmlns:cdr="http://schemas.openxmlformats.org/drawingml/2006/chartDrawing">
    <cdr:from>
      <cdr:x>0.206</cdr:x>
      <cdr:y>0.62075</cdr:y>
    </cdr:from>
    <cdr:to>
      <cdr:x>0.24725</cdr:x>
      <cdr:y>0.64775</cdr:y>
    </cdr:to>
    <cdr:sp macro="" textlink="">
      <cdr:nvSpPr>
        <cdr:cNvPr id="4109" name="Text 13"/>
        <cdr:cNvSpPr txBox="1">
          <a:spLocks xmlns:a="http://schemas.openxmlformats.org/drawingml/2006/main" noChangeArrowheads="1"/>
        </cdr:cNvSpPr>
      </cdr:nvSpPr>
      <cdr:spPr bwMode="auto">
        <a:xfrm xmlns:a="http://schemas.openxmlformats.org/drawingml/2006/main">
          <a:off x="1897399" y="3488460"/>
          <a:ext cx="379940"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30%</a:t>
          </a:r>
        </a:p>
      </cdr:txBody>
    </cdr:sp>
  </cdr:relSizeAnchor>
  <cdr:relSizeAnchor xmlns:cdr="http://schemas.openxmlformats.org/drawingml/2006/chartDrawing">
    <cdr:from>
      <cdr:x>0.1485</cdr:x>
      <cdr:y>0.80225</cdr:y>
    </cdr:from>
    <cdr:to>
      <cdr:x>0.18575</cdr:x>
      <cdr:y>0.82925</cdr:y>
    </cdr:to>
    <cdr:sp macro="" textlink="">
      <cdr:nvSpPr>
        <cdr:cNvPr id="4110" name="Text 14"/>
        <cdr:cNvSpPr txBox="1">
          <a:spLocks xmlns:a="http://schemas.openxmlformats.org/drawingml/2006/main" noChangeArrowheads="1"/>
        </cdr:cNvSpPr>
      </cdr:nvSpPr>
      <cdr:spPr bwMode="auto">
        <a:xfrm xmlns:a="http://schemas.openxmlformats.org/drawingml/2006/main">
          <a:off x="1367785" y="4508444"/>
          <a:ext cx="343098" cy="15173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5%</a:t>
          </a:r>
        </a:p>
      </cdr:txBody>
    </cdr:sp>
  </cdr:relSizeAnchor>
  <cdr:relSizeAnchor xmlns:cdr="http://schemas.openxmlformats.org/drawingml/2006/chartDrawing">
    <cdr:from>
      <cdr:x>0.10775</cdr:x>
      <cdr:y>0.895</cdr:y>
    </cdr:from>
    <cdr:to>
      <cdr:x>0.149</cdr:x>
      <cdr:y>0.922</cdr:y>
    </cdr:to>
    <cdr:sp macro="" textlink="">
      <cdr:nvSpPr>
        <cdr:cNvPr id="4111" name="Text 15"/>
        <cdr:cNvSpPr txBox="1">
          <a:spLocks xmlns:a="http://schemas.openxmlformats.org/drawingml/2006/main" noChangeArrowheads="1"/>
        </cdr:cNvSpPr>
      </cdr:nvSpPr>
      <cdr:spPr bwMode="auto">
        <a:xfrm xmlns:a="http://schemas.openxmlformats.org/drawingml/2006/main">
          <a:off x="992450" y="5029676"/>
          <a:ext cx="379941" cy="15173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Trace</a:t>
          </a:r>
        </a:p>
      </cdr:txBody>
    </cdr:sp>
  </cdr:relSizeAnchor>
  <cdr:relSizeAnchor xmlns:cdr="http://schemas.openxmlformats.org/drawingml/2006/chartDrawing">
    <cdr:from>
      <cdr:x>0.434</cdr:x>
      <cdr:y>0.96075</cdr:y>
    </cdr:from>
    <cdr:to>
      <cdr:x>0.47125</cdr:x>
      <cdr:y>0.98775</cdr:y>
    </cdr:to>
    <cdr:sp macro="" textlink="">
      <cdr:nvSpPr>
        <cdr:cNvPr id="4112" name="Text 16"/>
        <cdr:cNvSpPr txBox="1">
          <a:spLocks xmlns:a="http://schemas.openxmlformats.org/drawingml/2006/main" noChangeArrowheads="1"/>
        </cdr:cNvSpPr>
      </cdr:nvSpPr>
      <cdr:spPr bwMode="auto">
        <a:xfrm xmlns:a="http://schemas.openxmlformats.org/drawingml/2006/main">
          <a:off x="3997433" y="539917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1:1</a:t>
          </a:r>
        </a:p>
      </cdr:txBody>
    </cdr:sp>
  </cdr:relSizeAnchor>
  <cdr:relSizeAnchor xmlns:cdr="http://schemas.openxmlformats.org/drawingml/2006/chartDrawing">
    <cdr:from>
      <cdr:x>0.208</cdr:x>
      <cdr:y>0.96075</cdr:y>
    </cdr:from>
    <cdr:to>
      <cdr:x>0.24925</cdr:x>
      <cdr:y>0.98775</cdr:y>
    </cdr:to>
    <cdr:sp macro="" textlink="">
      <cdr:nvSpPr>
        <cdr:cNvPr id="4113" name="Text 17"/>
        <cdr:cNvSpPr txBox="1">
          <a:spLocks xmlns:a="http://schemas.openxmlformats.org/drawingml/2006/main" noChangeArrowheads="1"/>
        </cdr:cNvSpPr>
      </cdr:nvSpPr>
      <cdr:spPr bwMode="auto">
        <a:xfrm xmlns:a="http://schemas.openxmlformats.org/drawingml/2006/main">
          <a:off x="1915820" y="5399175"/>
          <a:ext cx="379941"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1:9</a:t>
          </a:r>
        </a:p>
      </cdr:txBody>
    </cdr:sp>
  </cdr:relSizeAnchor>
  <cdr:relSizeAnchor xmlns:cdr="http://schemas.openxmlformats.org/drawingml/2006/chartDrawing">
    <cdr:from>
      <cdr:x>0.661</cdr:x>
      <cdr:y>0.96075</cdr:y>
    </cdr:from>
    <cdr:to>
      <cdr:x>0.69825</cdr:x>
      <cdr:y>0.98775</cdr:y>
    </cdr:to>
    <cdr:sp macro="" textlink="">
      <cdr:nvSpPr>
        <cdr:cNvPr id="4114" name="Text 18"/>
        <cdr:cNvSpPr txBox="1">
          <a:spLocks xmlns:a="http://schemas.openxmlformats.org/drawingml/2006/main" noChangeArrowheads="1"/>
        </cdr:cNvSpPr>
      </cdr:nvSpPr>
      <cdr:spPr bwMode="auto">
        <a:xfrm xmlns:a="http://schemas.openxmlformats.org/drawingml/2006/main">
          <a:off x="6088256" y="539917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9:1</a:t>
          </a:r>
        </a:p>
      </cdr:txBody>
    </cdr:sp>
  </cdr:relSizeAnchor>
  <cdr:relSizeAnchor xmlns:cdr="http://schemas.openxmlformats.org/drawingml/2006/chartDrawing">
    <cdr:from>
      <cdr:x>0.39125</cdr:x>
      <cdr:y>0.966</cdr:y>
    </cdr:from>
    <cdr:to>
      <cdr:x>0.57325</cdr:x>
      <cdr:y>1</cdr:y>
    </cdr:to>
    <cdr:sp macro="" textlink="">
      <cdr:nvSpPr>
        <cdr:cNvPr id="4115" name="Text 19"/>
        <cdr:cNvSpPr txBox="1">
          <a:spLocks xmlns:a="http://schemas.openxmlformats.org/drawingml/2006/main" noChangeArrowheads="1"/>
        </cdr:cNvSpPr>
      </cdr:nvSpPr>
      <cdr:spPr bwMode="auto">
        <a:xfrm xmlns:a="http://schemas.openxmlformats.org/drawingml/2006/main">
          <a:off x="3603677" y="5559338"/>
          <a:ext cx="1676342"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Sand:Mud Ratio</a:t>
          </a:r>
        </a:p>
      </cdr:txBody>
    </cdr:sp>
  </cdr:relSizeAnchor>
  <cdr:relSizeAnchor xmlns:cdr="http://schemas.openxmlformats.org/drawingml/2006/chartDrawing">
    <cdr:from>
      <cdr:x>0.21775</cdr:x>
      <cdr:y>0.4265</cdr:y>
    </cdr:from>
    <cdr:to>
      <cdr:x>0.313</cdr:x>
      <cdr:y>0.4605</cdr:y>
    </cdr:to>
    <cdr:sp macro="" textlink="">
      <cdr:nvSpPr>
        <cdr:cNvPr id="4116" name="Text 20"/>
        <cdr:cNvSpPr txBox="1">
          <a:spLocks xmlns:a="http://schemas.openxmlformats.org/drawingml/2006/main" noChangeArrowheads="1"/>
        </cdr:cNvSpPr>
      </cdr:nvSpPr>
      <cdr:spPr bwMode="auto">
        <a:xfrm xmlns:a="http://schemas.openxmlformats.org/drawingml/2006/main">
          <a:off x="2005624" y="2396823"/>
          <a:ext cx="877317"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Gravel %</a:t>
          </a:r>
        </a:p>
      </cdr:txBody>
    </cdr:sp>
  </cdr:relSizeAnchor>
  <cdr:relSizeAnchor xmlns:cdr="http://schemas.openxmlformats.org/drawingml/2006/chartDrawing">
    <cdr:from>
      <cdr:x>0.42725</cdr:x>
      <cdr:y>0.13575</cdr:y>
    </cdr:from>
    <cdr:to>
      <cdr:x>0.47275</cdr:x>
      <cdr:y>0.18325</cdr:y>
    </cdr:to>
    <cdr:sp macro="" textlink="">
      <cdr:nvSpPr>
        <cdr:cNvPr id="4157" name="Text 61"/>
        <cdr:cNvSpPr txBox="1">
          <a:spLocks xmlns:a="http://schemas.openxmlformats.org/drawingml/2006/main" noChangeArrowheads="1"/>
        </cdr:cNvSpPr>
      </cdr:nvSpPr>
      <cdr:spPr bwMode="auto">
        <a:xfrm xmlns:a="http://schemas.openxmlformats.org/drawingml/2006/main">
          <a:off x="3935261" y="762881"/>
          <a:ext cx="419086" cy="26693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a:t>
          </a:r>
        </a:p>
      </cdr:txBody>
    </cdr:sp>
  </cdr:relSizeAnchor>
  <cdr:relSizeAnchor xmlns:cdr="http://schemas.openxmlformats.org/drawingml/2006/chartDrawing">
    <cdr:from>
      <cdr:x>0.3385</cdr:x>
      <cdr:y>0.413</cdr:y>
    </cdr:from>
    <cdr:to>
      <cdr:x>0.43375</cdr:x>
      <cdr:y>0.474</cdr:y>
    </cdr:to>
    <cdr:sp macro="" textlink="">
      <cdr:nvSpPr>
        <cdr:cNvPr id="4158" name="Text 62"/>
        <cdr:cNvSpPr txBox="1">
          <a:spLocks xmlns:a="http://schemas.openxmlformats.org/drawingml/2006/main" noChangeArrowheads="1"/>
        </cdr:cNvSpPr>
      </cdr:nvSpPr>
      <cdr:spPr bwMode="auto">
        <a:xfrm xmlns:a="http://schemas.openxmlformats.org/drawingml/2006/main">
          <a:off x="3117813" y="2320957"/>
          <a:ext cx="877317"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Muddy Gravel</a:t>
          </a:r>
        </a:p>
      </cdr:txBody>
    </cdr:sp>
  </cdr:relSizeAnchor>
  <cdr:relSizeAnchor xmlns:cdr="http://schemas.openxmlformats.org/drawingml/2006/chartDrawing">
    <cdr:from>
      <cdr:x>0.4575</cdr:x>
      <cdr:y>0.413</cdr:y>
    </cdr:from>
    <cdr:to>
      <cdr:x>0.536</cdr:x>
      <cdr:y>0.474</cdr:y>
    </cdr:to>
    <cdr:sp macro="" textlink="">
      <cdr:nvSpPr>
        <cdr:cNvPr id="4159" name="Text 63"/>
        <cdr:cNvSpPr txBox="1">
          <a:spLocks xmlns:a="http://schemas.openxmlformats.org/drawingml/2006/main" noChangeArrowheads="1"/>
        </cdr:cNvSpPr>
      </cdr:nvSpPr>
      <cdr:spPr bwMode="auto">
        <a:xfrm xmlns:a="http://schemas.openxmlformats.org/drawingml/2006/main">
          <a:off x="4213884" y="2320957"/>
          <a:ext cx="723038"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Muddy Sandy Gravel</a:t>
          </a:r>
        </a:p>
      </cdr:txBody>
    </cdr:sp>
  </cdr:relSizeAnchor>
  <cdr:relSizeAnchor xmlns:cdr="http://schemas.openxmlformats.org/drawingml/2006/chartDrawing">
    <cdr:from>
      <cdr:x>0.29175</cdr:x>
      <cdr:y>0.7125</cdr:y>
    </cdr:from>
    <cdr:to>
      <cdr:x>0.391</cdr:x>
      <cdr:y>0.75325</cdr:y>
    </cdr:to>
    <cdr:sp macro="" textlink="">
      <cdr:nvSpPr>
        <cdr:cNvPr id="4160" name="Text 64"/>
        <cdr:cNvSpPr txBox="1">
          <a:spLocks xmlns:a="http://schemas.openxmlformats.org/drawingml/2006/main" noChangeArrowheads="1"/>
        </cdr:cNvSpPr>
      </cdr:nvSpPr>
      <cdr:spPr bwMode="auto">
        <a:xfrm xmlns:a="http://schemas.openxmlformats.org/drawingml/2006/main">
          <a:off x="2687214" y="4004072"/>
          <a:ext cx="914160" cy="2290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Gravelly Mud</a:t>
          </a:r>
        </a:p>
      </cdr:txBody>
    </cdr:sp>
  </cdr:relSizeAnchor>
  <cdr:relSizeAnchor xmlns:cdr="http://schemas.openxmlformats.org/drawingml/2006/chartDrawing">
    <cdr:from>
      <cdr:x>0.47875</cdr:x>
      <cdr:y>0.7125</cdr:y>
    </cdr:from>
    <cdr:to>
      <cdr:x>0.61525</cdr:x>
      <cdr:y>0.76675</cdr:y>
    </cdr:to>
    <cdr:sp macro="" textlink="">
      <cdr:nvSpPr>
        <cdr:cNvPr id="4161" name="Text 65"/>
        <cdr:cNvSpPr txBox="1">
          <a:spLocks xmlns:a="http://schemas.openxmlformats.org/drawingml/2006/main" noChangeArrowheads="1"/>
        </cdr:cNvSpPr>
      </cdr:nvSpPr>
      <cdr:spPr bwMode="auto">
        <a:xfrm xmlns:a="http://schemas.openxmlformats.org/drawingml/2006/main">
          <a:off x="4409611" y="4004072"/>
          <a:ext cx="1257257" cy="3048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Gravelly Muddy Sand</a:t>
          </a:r>
        </a:p>
      </cdr:txBody>
    </cdr:sp>
  </cdr:relSizeAnchor>
  <cdr:relSizeAnchor xmlns:cdr="http://schemas.openxmlformats.org/drawingml/2006/chartDrawing">
    <cdr:from>
      <cdr:x>0.175</cdr:x>
      <cdr:y>0.83125</cdr:y>
    </cdr:from>
    <cdr:to>
      <cdr:x>0.24125</cdr:x>
      <cdr:y>0.9195</cdr:y>
    </cdr:to>
    <cdr:sp macro="" textlink="">
      <cdr:nvSpPr>
        <cdr:cNvPr id="4162" name="Text 66"/>
        <cdr:cNvSpPr txBox="1">
          <a:spLocks xmlns:a="http://schemas.openxmlformats.org/drawingml/2006/main" noChangeArrowheads="1"/>
        </cdr:cNvSpPr>
      </cdr:nvSpPr>
      <cdr:spPr bwMode="auto">
        <a:xfrm xmlns:a="http://schemas.openxmlformats.org/drawingml/2006/main">
          <a:off x="1611868" y="4671417"/>
          <a:ext cx="610207" cy="49594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 Mud</a:t>
          </a:r>
        </a:p>
      </cdr:txBody>
    </cdr:sp>
  </cdr:relSizeAnchor>
  <cdr:relSizeAnchor xmlns:cdr="http://schemas.openxmlformats.org/drawingml/2006/chartDrawing">
    <cdr:from>
      <cdr:x>0.29175</cdr:x>
      <cdr:y>0.843</cdr:y>
    </cdr:from>
    <cdr:to>
      <cdr:x>0.41175</cdr:x>
      <cdr:y>0.89725</cdr:y>
    </cdr:to>
    <cdr:sp macro="" textlink="">
      <cdr:nvSpPr>
        <cdr:cNvPr id="4163" name="Text 67"/>
        <cdr:cNvSpPr txBox="1">
          <a:spLocks xmlns:a="http://schemas.openxmlformats.org/drawingml/2006/main" noChangeArrowheads="1"/>
        </cdr:cNvSpPr>
      </cdr:nvSpPr>
      <cdr:spPr bwMode="auto">
        <a:xfrm xmlns:a="http://schemas.openxmlformats.org/drawingml/2006/main">
          <a:off x="2687214" y="4737449"/>
          <a:ext cx="1105281"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a:t>
          </a:r>
        </a:p>
        <a:p xmlns:a="http://schemas.openxmlformats.org/drawingml/2006/main">
          <a:pPr algn="ctr"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0.475</cdr:x>
      <cdr:y>0.843</cdr:y>
    </cdr:from>
    <cdr:to>
      <cdr:x>0.61975</cdr:x>
      <cdr:y>0.89725</cdr:y>
    </cdr:to>
    <cdr:sp macro="" textlink="">
      <cdr:nvSpPr>
        <cdr:cNvPr id="4164" name="Text 68"/>
        <cdr:cNvSpPr txBox="1">
          <a:spLocks xmlns:a="http://schemas.openxmlformats.org/drawingml/2006/main" noChangeArrowheads="1"/>
        </cdr:cNvSpPr>
      </cdr:nvSpPr>
      <cdr:spPr bwMode="auto">
        <a:xfrm xmlns:a="http://schemas.openxmlformats.org/drawingml/2006/main">
          <a:off x="4375071" y="4737449"/>
          <a:ext cx="1333245"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a:t>
          </a:r>
        </a:p>
        <a:p xmlns:a="http://schemas.openxmlformats.org/drawingml/2006/main">
          <a:pPr algn="ctr"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0.175</cdr:x>
      <cdr:y>0.92125</cdr:y>
    </cdr:from>
    <cdr:to>
      <cdr:x>0.233</cdr:x>
      <cdr:y>0.95525</cdr:y>
    </cdr:to>
    <cdr:sp macro="" textlink="">
      <cdr:nvSpPr>
        <cdr:cNvPr id="4165" name="Text 69"/>
        <cdr:cNvSpPr txBox="1">
          <a:spLocks xmlns:a="http://schemas.openxmlformats.org/drawingml/2006/main" noChangeArrowheads="1"/>
        </cdr:cNvSpPr>
      </cdr:nvSpPr>
      <cdr:spPr bwMode="auto">
        <a:xfrm xmlns:a="http://schemas.openxmlformats.org/drawingml/2006/main">
          <a:off x="1611868" y="5177195"/>
          <a:ext cx="534219" cy="1910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a:t>
          </a:r>
        </a:p>
      </cdr:txBody>
    </cdr:sp>
  </cdr:relSizeAnchor>
  <cdr:relSizeAnchor xmlns:cdr="http://schemas.openxmlformats.org/drawingml/2006/chartDrawing">
    <cdr:from>
      <cdr:x>0.31425</cdr:x>
      <cdr:y>0.92125</cdr:y>
    </cdr:from>
    <cdr:to>
      <cdr:x>0.41775</cdr:x>
      <cdr:y>0.96875</cdr:y>
    </cdr:to>
    <cdr:sp macro="" textlink="">
      <cdr:nvSpPr>
        <cdr:cNvPr id="4166" name="Text 70"/>
        <cdr:cNvSpPr txBox="1">
          <a:spLocks xmlns:a="http://schemas.openxmlformats.org/drawingml/2006/main" noChangeArrowheads="1"/>
        </cdr:cNvSpPr>
      </cdr:nvSpPr>
      <cdr:spPr bwMode="auto">
        <a:xfrm xmlns:a="http://schemas.openxmlformats.org/drawingml/2006/main">
          <a:off x="2894455" y="5177195"/>
          <a:ext cx="953304" cy="26693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0.52275</cdr:x>
      <cdr:y>0.92125</cdr:y>
    </cdr:from>
    <cdr:to>
      <cdr:x>0.61375</cdr:x>
      <cdr:y>0.95525</cdr:y>
    </cdr:to>
    <cdr:sp macro="" textlink="">
      <cdr:nvSpPr>
        <cdr:cNvPr id="4167" name="Text 71"/>
        <cdr:cNvSpPr txBox="1">
          <a:spLocks xmlns:a="http://schemas.openxmlformats.org/drawingml/2006/main" noChangeArrowheads="1"/>
        </cdr:cNvSpPr>
      </cdr:nvSpPr>
      <cdr:spPr bwMode="auto">
        <a:xfrm xmlns:a="http://schemas.openxmlformats.org/drawingml/2006/main">
          <a:off x="4814880" y="5177195"/>
          <a:ext cx="838172" cy="1910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0.772</cdr:x>
      <cdr:y>0.90375</cdr:y>
    </cdr:from>
    <cdr:to>
      <cdr:x>0.82175</cdr:x>
      <cdr:y>0.93775</cdr:y>
    </cdr:to>
    <cdr:sp macro="" textlink="">
      <cdr:nvSpPr>
        <cdr:cNvPr id="4168" name="Text 72"/>
        <cdr:cNvSpPr txBox="1">
          <a:spLocks xmlns:a="http://schemas.openxmlformats.org/drawingml/2006/main" noChangeArrowheads="1"/>
        </cdr:cNvSpPr>
      </cdr:nvSpPr>
      <cdr:spPr bwMode="auto">
        <a:xfrm xmlns:a="http://schemas.openxmlformats.org/drawingml/2006/main">
          <a:off x="7110641" y="5078849"/>
          <a:ext cx="458231"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a:t>
          </a:r>
        </a:p>
      </cdr:txBody>
    </cdr:sp>
  </cdr:relSizeAnchor>
  <cdr:relSizeAnchor xmlns:cdr="http://schemas.openxmlformats.org/drawingml/2006/chartDrawing">
    <cdr:from>
      <cdr:x>0.74</cdr:x>
      <cdr:y>0.815</cdr:y>
    </cdr:from>
    <cdr:to>
      <cdr:x>0.798</cdr:x>
      <cdr:y>0.89625</cdr:y>
    </cdr:to>
    <cdr:sp macro="" textlink="">
      <cdr:nvSpPr>
        <cdr:cNvPr id="4169" name="Text 73"/>
        <cdr:cNvSpPr txBox="1">
          <a:spLocks xmlns:a="http://schemas.openxmlformats.org/drawingml/2006/main" noChangeArrowheads="1"/>
        </cdr:cNvSpPr>
      </cdr:nvSpPr>
      <cdr:spPr bwMode="auto">
        <a:xfrm xmlns:a="http://schemas.openxmlformats.org/drawingml/2006/main">
          <a:off x="6815900" y="4580096"/>
          <a:ext cx="534219" cy="4566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 Sand</a:t>
          </a:r>
        </a:p>
      </cdr:txBody>
    </cdr:sp>
  </cdr:relSizeAnchor>
  <cdr:relSizeAnchor xmlns:cdr="http://schemas.openxmlformats.org/drawingml/2006/chartDrawing">
    <cdr:from>
      <cdr:x>0.68725</cdr:x>
      <cdr:y>0.68825</cdr:y>
    </cdr:from>
    <cdr:to>
      <cdr:x>0.741</cdr:x>
      <cdr:y>0.74925</cdr:y>
    </cdr:to>
    <cdr:sp macro="" textlink="">
      <cdr:nvSpPr>
        <cdr:cNvPr id="4170" name="Text 74"/>
        <cdr:cNvSpPr txBox="1">
          <a:spLocks xmlns:a="http://schemas.openxmlformats.org/drawingml/2006/main" noChangeArrowheads="1"/>
        </cdr:cNvSpPr>
      </cdr:nvSpPr>
      <cdr:spPr bwMode="auto">
        <a:xfrm xmlns:a="http://schemas.openxmlformats.org/drawingml/2006/main">
          <a:off x="6330036" y="3867793"/>
          <a:ext cx="495074"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Gravelly Sand</a:t>
          </a:r>
        </a:p>
      </cdr:txBody>
    </cdr:sp>
  </cdr:relSizeAnchor>
  <cdr:relSizeAnchor xmlns:cdr="http://schemas.openxmlformats.org/drawingml/2006/chartDrawing">
    <cdr:from>
      <cdr:x>0.57625</cdr:x>
      <cdr:y>0.35425</cdr:y>
    </cdr:from>
    <cdr:to>
      <cdr:x>0.63825</cdr:x>
      <cdr:y>0.4085</cdr:y>
    </cdr:to>
    <cdr:sp macro="" textlink="">
      <cdr:nvSpPr>
        <cdr:cNvPr id="4171" name="Text 75"/>
        <cdr:cNvSpPr txBox="1">
          <a:spLocks xmlns:a="http://schemas.openxmlformats.org/drawingml/2006/main" noChangeArrowheads="1"/>
        </cdr:cNvSpPr>
      </cdr:nvSpPr>
      <cdr:spPr bwMode="auto">
        <a:xfrm xmlns:a="http://schemas.openxmlformats.org/drawingml/2006/main">
          <a:off x="5307651" y="1990796"/>
          <a:ext cx="571062"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Sandy Gravel</a:t>
          </a:r>
        </a:p>
      </cdr:txBody>
    </cdr:sp>
  </cdr:relSizeAnchor>
  <cdr:relSizeAnchor xmlns:cdr="http://schemas.openxmlformats.org/drawingml/2006/chartDrawing">
    <cdr:from>
      <cdr:x>0.5645</cdr:x>
      <cdr:y>0.37725</cdr:y>
    </cdr:from>
    <cdr:to>
      <cdr:x>0.588</cdr:x>
      <cdr:y>0.418</cdr:y>
    </cdr:to>
    <cdr:sp macro="" textlink="">
      <cdr:nvSpPr>
        <cdr:cNvPr id="4172" name="Line 76"/>
        <cdr:cNvSpPr>
          <a:spLocks xmlns:a="http://schemas.openxmlformats.org/drawingml/2006/main" noChangeShapeType="1"/>
        </cdr:cNvSpPr>
      </cdr:nvSpPr>
      <cdr:spPr bwMode="auto">
        <a:xfrm xmlns:a="http://schemas.openxmlformats.org/drawingml/2006/main" flipV="1">
          <a:off x="5199426" y="2120051"/>
          <a:ext cx="216451" cy="229005"/>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0.66775</cdr:x>
      <cdr:y>0.72025</cdr:y>
    </cdr:from>
    <cdr:to>
      <cdr:x>0.702</cdr:x>
      <cdr:y>0.726</cdr:y>
    </cdr:to>
    <cdr:sp macro="" textlink="">
      <cdr:nvSpPr>
        <cdr:cNvPr id="4173" name="Line 77"/>
        <cdr:cNvSpPr>
          <a:spLocks xmlns:a="http://schemas.openxmlformats.org/drawingml/2006/main" noChangeShapeType="1"/>
        </cdr:cNvSpPr>
      </cdr:nvSpPr>
      <cdr:spPr bwMode="auto">
        <a:xfrm xmlns:a="http://schemas.openxmlformats.org/drawingml/2006/main" flipV="1">
          <a:off x="6150428" y="4047625"/>
          <a:ext cx="315466" cy="32314"/>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0.71175</cdr:x>
      <cdr:y>0.8545</cdr:y>
    </cdr:from>
    <cdr:to>
      <cdr:x>0.74</cdr:x>
      <cdr:y>0.86525</cdr:y>
    </cdr:to>
    <cdr:sp macro="" textlink="">
      <cdr:nvSpPr>
        <cdr:cNvPr id="4174" name="Line 78"/>
        <cdr:cNvSpPr>
          <a:spLocks xmlns:a="http://schemas.openxmlformats.org/drawingml/2006/main" noChangeShapeType="1"/>
        </cdr:cNvSpPr>
      </cdr:nvSpPr>
      <cdr:spPr bwMode="auto">
        <a:xfrm xmlns:a="http://schemas.openxmlformats.org/drawingml/2006/main" flipH="1">
          <a:off x="6555698" y="4802076"/>
          <a:ext cx="260202" cy="60413"/>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0.739</cdr:x>
      <cdr:y>0.92125</cdr:y>
    </cdr:from>
    <cdr:to>
      <cdr:x>0.76825</cdr:x>
      <cdr:y>0.929</cdr:y>
    </cdr:to>
    <cdr:sp macro="" textlink="">
      <cdr:nvSpPr>
        <cdr:cNvPr id="4175" name="Line 79"/>
        <cdr:cNvSpPr>
          <a:spLocks xmlns:a="http://schemas.openxmlformats.org/drawingml/2006/main" noChangeShapeType="1"/>
        </cdr:cNvSpPr>
      </cdr:nvSpPr>
      <cdr:spPr bwMode="auto">
        <a:xfrm xmlns:a="http://schemas.openxmlformats.org/drawingml/2006/main" flipH="1">
          <a:off x="6806689" y="5177195"/>
          <a:ext cx="269412" cy="43553"/>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0.76925</cdr:x>
      <cdr:y>0</cdr:y>
    </cdr:from>
    <cdr:to>
      <cdr:x>0.99975</cdr:x>
      <cdr:y>0.7995</cdr:y>
    </cdr:to>
    <cdr:sp macro="" textlink="">
      <cdr:nvSpPr>
        <cdr:cNvPr id="4537" name="Rectangle 441"/>
        <cdr:cNvSpPr>
          <a:spLocks xmlns:a="http://schemas.openxmlformats.org/drawingml/2006/main" noChangeArrowheads="1"/>
        </cdr:cNvSpPr>
      </cdr:nvSpPr>
      <cdr:spPr bwMode="auto">
        <a:xfrm xmlns:a="http://schemas.openxmlformats.org/drawingml/2006/main">
          <a:off x="7085312" y="0"/>
          <a:ext cx="2123060" cy="449299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cdr:x>
      <cdr:y>0</cdr:y>
    </cdr:from>
    <cdr:to>
      <cdr:x>0.37275</cdr:x>
      <cdr:y>0.20925</cdr:y>
    </cdr:to>
    <cdr:sp macro="" textlink="">
      <cdr:nvSpPr>
        <cdr:cNvPr id="4538" name="Rectangle 442"/>
        <cdr:cNvSpPr>
          <a:spLocks xmlns:a="http://schemas.openxmlformats.org/drawingml/2006/main" noChangeArrowheads="1"/>
        </cdr:cNvSpPr>
      </cdr:nvSpPr>
      <cdr:spPr bwMode="auto">
        <a:xfrm xmlns:a="http://schemas.openxmlformats.org/drawingml/2006/main">
          <a:off x="0" y="0"/>
          <a:ext cx="3433279" cy="11759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0.42425</cdr:x>
      <cdr:y>0.94925</cdr:y>
    </cdr:from>
    <cdr:to>
      <cdr:x>0.43025</cdr:x>
      <cdr:y>0.95975</cdr:y>
    </cdr:to>
    <cdr:sp macro="" textlink="">
      <cdr:nvSpPr>
        <cdr:cNvPr id="46094" name="Oval 3086"/>
        <cdr:cNvSpPr>
          <a:spLocks xmlns:a="http://schemas.openxmlformats.org/drawingml/2006/main" noChangeArrowheads="1"/>
        </cdr:cNvSpPr>
      </cdr:nvSpPr>
      <cdr:spPr bwMode="auto">
        <a:xfrm xmlns:a="http://schemas.openxmlformats.org/drawingml/2006/main">
          <a:off x="3907629" y="5334548"/>
          <a:ext cx="55264" cy="59007"/>
        </a:xfrm>
        <a:prstGeom xmlns:a="http://schemas.openxmlformats.org/drawingml/2006/main" prst="ellipse">
          <a:avLst/>
        </a:prstGeom>
        <a:solidFill xmlns:a="http://schemas.openxmlformats.org/drawingml/2006/main">
          <a:srgbClr val="000000"/>
        </a:solidFill>
        <a:ln xmlns:a="http://schemas.openxmlformats.org/drawingml/2006/main" w="9525">
          <a:solidFill>
            <a:srgbClr val="000000"/>
          </a:solidFill>
          <a:round/>
          <a:headEnd/>
          <a:tailEnd/>
        </a:ln>
        <a:effectLst xmlns:a="http://schemas.openxmlformats.org/drawingml/2006/main"/>
      </cdr:spPr>
    </cdr:sp>
  </cdr:relSizeAnchor>
  <cdr:relSizeAnchor xmlns:cdr="http://schemas.openxmlformats.org/drawingml/2006/chartDrawing">
    <cdr:from>
      <cdr:x>0</cdr:x>
      <cdr:y>0</cdr:y>
    </cdr:from>
    <cdr:to>
      <cdr:x>0.357</cdr:x>
      <cdr:y>0.185</cdr:y>
    </cdr:to>
    <cdr:grpSp>
      <cdr:nvGrpSpPr>
        <cdr:cNvPr id="4714" name="Group 618">
          <a:extLst xmlns:a="http://schemas.openxmlformats.org/drawingml/2006/main">
            <a:ext uri="{FF2B5EF4-FFF2-40B4-BE49-F238E27FC236}">
              <a16:creationId xmlns:a16="http://schemas.microsoft.com/office/drawing/2014/main" id="{C152A19B-9EA1-4AEB-914C-950D3D0CD3C3}"/>
            </a:ext>
          </a:extLst>
        </cdr:cNvPr>
        <cdr:cNvGrpSpPr>
          <a:grpSpLocks xmlns:a="http://schemas.openxmlformats.org/drawingml/2006/main"/>
        </cdr:cNvGrpSpPr>
      </cdr:nvGrpSpPr>
      <cdr:grpSpPr bwMode="auto">
        <a:xfrm xmlns:a="http://schemas.openxmlformats.org/drawingml/2006/main">
          <a:off x="0" y="0"/>
          <a:ext cx="3287078" cy="1038479"/>
          <a:chOff x="64475" y="12623"/>
          <a:chExt cx="3288211" cy="1040697"/>
        </a:xfrm>
      </cdr:grpSpPr>
      <cdr:sp macro="" textlink="">
        <cdr:nvSpPr>
          <cdr:cNvPr id="4182" name="Rectangle 86"/>
          <cdr:cNvSpPr>
            <a:spLocks xmlns:a="http://schemas.openxmlformats.org/drawingml/2006/main" noChangeArrowheads="1"/>
          </cdr:cNvSpPr>
        </cdr:nvSpPr>
        <cdr:spPr bwMode="auto">
          <a:xfrm xmlns:a="http://schemas.openxmlformats.org/drawingml/2006/main">
            <a:off x="64475" y="12623"/>
            <a:ext cx="3288211" cy="1040697"/>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sp>
      <cdr:sp macro="" textlink="'Single Sample Data Input'!$C$3">
        <cdr:nvSpPr>
          <cdr:cNvPr id="4128" name="Text 32"/>
          <cdr:cNvSpPr txBox="1">
            <a:spLocks xmlns:a="http://schemas.openxmlformats.org/drawingml/2006/main" noChangeArrowheads="1"/>
          </cdr:cNvSpPr>
        </cdr:nvSpPr>
        <cdr:spPr bwMode="auto">
          <a:xfrm xmlns:a="http://schemas.openxmlformats.org/drawingml/2006/main">
            <a:off x="1393115" y="136048"/>
            <a:ext cx="1892793" cy="18934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687B8C84-B07C-4720-87F0-4279B7C11F89}" type="TxLink">
              <a:rPr lang="en-GB"/>
              <a:pPr/>
              <a:t> </a:t>
            </a:fld>
            <a:endParaRPr lang="en-GB"/>
          </a:p>
        </cdr:txBody>
      </cdr:sp>
      <cdr:sp macro="" textlink="">
        <cdr:nvSpPr>
          <cdr:cNvPr id="4176" name="Text 80"/>
          <cdr:cNvSpPr txBox="1">
            <a:spLocks xmlns:a="http://schemas.openxmlformats.org/drawingml/2006/main" noChangeArrowheads="1"/>
          </cdr:cNvSpPr>
        </cdr:nvSpPr>
        <cdr:spPr bwMode="auto">
          <a:xfrm xmlns:a="http://schemas.openxmlformats.org/drawingml/2006/main">
            <a:off x="64475" y="373080"/>
            <a:ext cx="1291797" cy="30856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TEXTURAL GROUP: </a:t>
            </a:r>
          </a:p>
        </cdr:txBody>
      </cdr:sp>
      <cdr:sp macro="" textlink="">
        <cdr:nvSpPr>
          <cdr:cNvPr id="4177" name="Text 81"/>
          <cdr:cNvSpPr txBox="1">
            <a:spLocks xmlns:a="http://schemas.openxmlformats.org/drawingml/2006/main" noChangeArrowheads="1"/>
          </cdr:cNvSpPr>
        </cdr:nvSpPr>
        <cdr:spPr bwMode="auto">
          <a:xfrm xmlns:a="http://schemas.openxmlformats.org/drawingml/2006/main">
            <a:off x="64475" y="632553"/>
            <a:ext cx="1291797" cy="20898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SEDIMENT NAME: </a:t>
            </a:r>
          </a:p>
        </cdr:txBody>
      </cdr:sp>
      <cdr:sp macro="" textlink="'Single Sample Statistics'!$M$4">
        <cdr:nvSpPr>
          <cdr:cNvPr id="4180" name="Text 84"/>
          <cdr:cNvSpPr txBox="1">
            <a:spLocks xmlns:a="http://schemas.openxmlformats.org/drawingml/2006/main" noChangeArrowheads="1"/>
          </cdr:cNvSpPr>
        </cdr:nvSpPr>
        <cdr:spPr bwMode="auto">
          <a:xfrm xmlns:a="http://schemas.openxmlformats.org/drawingml/2006/main">
            <a:off x="1393115" y="378690"/>
            <a:ext cx="1770752" cy="21599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0FA1053-BB7F-4562-BA47-9F3393A355FA}" type="TxLink">
              <a:rPr lang="en-GB"/>
              <a:pPr/>
              <a:t> </a:t>
            </a:fld>
            <a:endParaRPr lang="en-GB"/>
          </a:p>
        </cdr:txBody>
      </cdr:sp>
      <cdr:sp macro="" textlink="'Single Sample Statistics'!$C$5">
        <cdr:nvSpPr>
          <cdr:cNvPr id="4181" name="Text 85"/>
          <cdr:cNvSpPr txBox="1">
            <a:spLocks xmlns:a="http://schemas.openxmlformats.org/drawingml/2006/main" noChangeArrowheads="1"/>
          </cdr:cNvSpPr>
        </cdr:nvSpPr>
        <cdr:spPr bwMode="auto">
          <a:xfrm xmlns:a="http://schemas.openxmlformats.org/drawingml/2006/main">
            <a:off x="1393115" y="638163"/>
            <a:ext cx="1892793" cy="40814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46217F4-92E8-44A5-B5DE-5FADA85569AC}" type="TxLink">
              <a:rPr lang="en-GB"/>
              <a:pPr/>
              <a:t> </a:t>
            </a:fld>
            <a:endParaRPr lang="en-GB"/>
          </a:p>
        </cdr:txBody>
      </cdr:sp>
      <cdr:sp macro="" textlink="">
        <cdr:nvSpPr>
          <cdr:cNvPr id="4199" name="Text 103"/>
          <cdr:cNvSpPr txBox="1">
            <a:spLocks xmlns:a="http://schemas.openxmlformats.org/drawingml/2006/main" noChangeArrowheads="1"/>
          </cdr:cNvSpPr>
        </cdr:nvSpPr>
        <cdr:spPr bwMode="auto">
          <a:xfrm xmlns:a="http://schemas.openxmlformats.org/drawingml/2006/main">
            <a:off x="64475" y="136048"/>
            <a:ext cx="1296402" cy="227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SAMPLE IDENTITY:</a:t>
            </a:r>
          </a:p>
        </cdr:txBody>
      </cdr:sp>
    </cdr:grpSp>
  </cdr:relSizeAnchor>
  <cdr:relSizeAnchor xmlns:cdr="http://schemas.openxmlformats.org/drawingml/2006/chartDrawing">
    <cdr:from>
      <cdr:x>0.78275</cdr:x>
      <cdr:y>0</cdr:y>
    </cdr:from>
    <cdr:to>
      <cdr:x>1</cdr:x>
      <cdr:y>0.7715</cdr:y>
    </cdr:to>
    <cdr:grpSp>
      <cdr:nvGrpSpPr>
        <cdr:cNvPr id="11254" name="Group 3062">
          <a:extLst xmlns:a="http://schemas.openxmlformats.org/drawingml/2006/main">
            <a:ext uri="{FF2B5EF4-FFF2-40B4-BE49-F238E27FC236}">
              <a16:creationId xmlns:a16="http://schemas.microsoft.com/office/drawing/2014/main" id="{5AD87740-F938-4D93-ADD0-C535C4E227E9}"/>
            </a:ext>
          </a:extLst>
        </cdr:cNvPr>
        <cdr:cNvGrpSpPr>
          <a:grpSpLocks xmlns:a="http://schemas.openxmlformats.org/drawingml/2006/main"/>
        </cdr:cNvGrpSpPr>
      </cdr:nvGrpSpPr>
      <cdr:grpSpPr bwMode="auto">
        <a:xfrm xmlns:a="http://schemas.openxmlformats.org/drawingml/2006/main">
          <a:off x="7207171" y="0"/>
          <a:ext cx="2000329" cy="4330738"/>
          <a:chOff x="7168208" y="12623"/>
          <a:chExt cx="2010230" cy="4322678"/>
        </a:xfrm>
      </cdr:grpSpPr>
      <cdr:sp macro="" textlink="">
        <cdr:nvSpPr>
          <cdr:cNvPr id="4135" name="Rectangle 39"/>
          <cdr:cNvSpPr>
            <a:spLocks xmlns:a="http://schemas.openxmlformats.org/drawingml/2006/main" noChangeArrowheads="1"/>
          </cdr:cNvSpPr>
        </cdr:nvSpPr>
        <cdr:spPr bwMode="auto">
          <a:xfrm xmlns:a="http://schemas.openxmlformats.org/drawingml/2006/main">
            <a:off x="7465252" y="12623"/>
            <a:ext cx="1379299" cy="727927"/>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4129" name="Text 33"/>
          <cdr:cNvSpPr txBox="1">
            <a:spLocks xmlns:a="http://schemas.openxmlformats.org/drawingml/2006/main" noChangeArrowheads="1"/>
          </cdr:cNvSpPr>
        </cdr:nvSpPr>
        <cdr:spPr bwMode="auto">
          <a:xfrm xmlns:a="http://schemas.openxmlformats.org/drawingml/2006/main">
            <a:off x="7490581" y="82751"/>
            <a:ext cx="681590" cy="1823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Gravel:</a:t>
            </a:r>
          </a:p>
        </cdr:txBody>
      </cdr:sp>
      <cdr:sp macro="" textlink="">
        <cdr:nvSpPr>
          <cdr:cNvPr id="4130" name="Text 34"/>
          <cdr:cNvSpPr txBox="1">
            <a:spLocks xmlns:a="http://schemas.openxmlformats.org/drawingml/2006/main" noChangeArrowheads="1"/>
          </cdr:cNvSpPr>
        </cdr:nvSpPr>
        <cdr:spPr bwMode="auto">
          <a:xfrm xmlns:a="http://schemas.openxmlformats.org/drawingml/2006/main">
            <a:off x="7608018" y="286121"/>
            <a:ext cx="564153"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Sand:</a:t>
            </a:r>
          </a:p>
        </cdr:txBody>
      </cdr:sp>
      <cdr:sp macro="" textlink="">
        <cdr:nvSpPr>
          <cdr:cNvPr id="4131" name="Text 35"/>
          <cdr:cNvSpPr txBox="1">
            <a:spLocks xmlns:a="http://schemas.openxmlformats.org/drawingml/2006/main" noChangeArrowheads="1"/>
          </cdr:cNvSpPr>
        </cdr:nvSpPr>
        <cdr:spPr bwMode="auto">
          <a:xfrm xmlns:a="http://schemas.openxmlformats.org/drawingml/2006/main">
            <a:off x="7561964" y="486687"/>
            <a:ext cx="610207"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Mud:</a:t>
            </a:r>
          </a:p>
        </cdr:txBody>
      </cdr:sp>
      <cdr:sp macro="" textlink="'Single Sample Statistics'!$J$8">
        <cdr:nvSpPr>
          <cdr:cNvPr id="4132" name="Text 36"/>
          <cdr:cNvSpPr txBox="1">
            <a:spLocks xmlns:a="http://schemas.openxmlformats.org/drawingml/2006/main" noChangeArrowheads="1"/>
          </cdr:cNvSpPr>
        </cdr:nvSpPr>
        <cdr:spPr bwMode="auto">
          <a:xfrm xmlns:a="http://schemas.openxmlformats.org/drawingml/2006/main">
            <a:off x="8215922" y="82751"/>
            <a:ext cx="492771" cy="1823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9074F42-838D-40F2-BA2D-AD22D77E9EB9}" type="TxLink">
              <a:rPr lang="en-GB"/>
              <a:pPr/>
              <a:t> </a:t>
            </a:fld>
            <a:endParaRPr lang="en-GB"/>
          </a:p>
        </cdr:txBody>
      </cdr:sp>
      <cdr:sp macro="" textlink="'Single Sample Statistics'!$J$9">
        <cdr:nvSpPr>
          <cdr:cNvPr id="4133" name="Text 37"/>
          <cdr:cNvSpPr txBox="1">
            <a:spLocks xmlns:a="http://schemas.openxmlformats.org/drawingml/2006/main" noChangeArrowheads="1"/>
          </cdr:cNvSpPr>
        </cdr:nvSpPr>
        <cdr:spPr bwMode="auto">
          <a:xfrm xmlns:a="http://schemas.openxmlformats.org/drawingml/2006/main">
            <a:off x="8215922" y="286121"/>
            <a:ext cx="49277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DCA270A8-166D-4F89-AD20-8E15A5FE857F}" type="TxLink">
              <a:rPr lang="en-GB"/>
              <a:pPr/>
              <a:t> </a:t>
            </a:fld>
            <a:endParaRPr lang="en-GB"/>
          </a:p>
        </cdr:txBody>
      </cdr:sp>
      <cdr:sp macro="" textlink="'Single Sample Statistics'!$J$10">
        <cdr:nvSpPr>
          <cdr:cNvPr id="4134" name="Text 38"/>
          <cdr:cNvSpPr txBox="1">
            <a:spLocks xmlns:a="http://schemas.openxmlformats.org/drawingml/2006/main" noChangeArrowheads="1"/>
          </cdr:cNvSpPr>
        </cdr:nvSpPr>
        <cdr:spPr bwMode="auto">
          <a:xfrm xmlns:a="http://schemas.openxmlformats.org/drawingml/2006/main">
            <a:off x="8215922" y="492297"/>
            <a:ext cx="42138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FDAF091F-6981-46D7-9222-1F377BF7CB5E}" type="TxLink">
              <a:rPr lang="en-GB"/>
              <a:pPr/>
              <a:t> </a:t>
            </a:fld>
            <a:endParaRPr lang="en-GB"/>
          </a:p>
        </cdr:txBody>
      </cdr:sp>
      <cdr:sp macro="" textlink="">
        <cdr:nvSpPr>
          <cdr:cNvPr id="4152" name="Rectangle 56"/>
          <cdr:cNvSpPr>
            <a:spLocks xmlns:a="http://schemas.openxmlformats.org/drawingml/2006/main" noChangeArrowheads="1"/>
          </cdr:cNvSpPr>
        </cdr:nvSpPr>
        <cdr:spPr bwMode="auto">
          <a:xfrm xmlns:a="http://schemas.openxmlformats.org/drawingml/2006/main">
            <a:off x="7195840" y="842936"/>
            <a:ext cx="1982598" cy="3492365"/>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4136" name="Text 40"/>
          <cdr:cNvSpPr txBox="1">
            <a:spLocks xmlns:a="http://schemas.openxmlformats.org/drawingml/2006/main" noChangeArrowheads="1"/>
          </cdr:cNvSpPr>
        </cdr:nvSpPr>
        <cdr:spPr bwMode="auto">
          <a:xfrm xmlns:a="http://schemas.openxmlformats.org/drawingml/2006/main">
            <a:off x="7409988" y="1157109"/>
            <a:ext cx="1119097"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Gravel:</a:t>
            </a:r>
          </a:p>
        </cdr:txBody>
      </cdr:sp>
      <cdr:sp macro="" textlink="">
        <cdr:nvSpPr>
          <cdr:cNvPr id="4137" name="Text 41"/>
          <cdr:cNvSpPr txBox="1">
            <a:spLocks xmlns:a="http://schemas.openxmlformats.org/drawingml/2006/main" noChangeArrowheads="1"/>
          </cdr:cNvSpPr>
        </cdr:nvSpPr>
        <cdr:spPr bwMode="auto">
          <a:xfrm xmlns:a="http://schemas.openxmlformats.org/drawingml/2006/main">
            <a:off x="7400777" y="1367492"/>
            <a:ext cx="112830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Gravel:</a:t>
            </a:r>
          </a:p>
        </cdr:txBody>
      </cdr:sp>
      <cdr:sp macro="" textlink="">
        <cdr:nvSpPr>
          <cdr:cNvPr id="4138" name="Text 42"/>
          <cdr:cNvSpPr txBox="1">
            <a:spLocks xmlns:a="http://schemas.openxmlformats.org/drawingml/2006/main" noChangeArrowheads="1"/>
          </cdr:cNvSpPr>
        </cdr:nvSpPr>
        <cdr:spPr bwMode="auto">
          <a:xfrm xmlns:a="http://schemas.openxmlformats.org/drawingml/2006/main">
            <a:off x="7168208" y="1577876"/>
            <a:ext cx="1360877"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Gravel:</a:t>
            </a:r>
          </a:p>
        </cdr:txBody>
      </cdr:sp>
      <cdr:sp macro="" textlink="">
        <cdr:nvSpPr>
          <cdr:cNvPr id="4139" name="Text 43"/>
          <cdr:cNvSpPr txBox="1">
            <a:spLocks xmlns:a="http://schemas.openxmlformats.org/drawingml/2006/main" noChangeArrowheads="1"/>
          </cdr:cNvSpPr>
        </cdr:nvSpPr>
        <cdr:spPr bwMode="auto">
          <a:xfrm xmlns:a="http://schemas.openxmlformats.org/drawingml/2006/main">
            <a:off x="7446831" y="2206221"/>
            <a:ext cx="108225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Sand:</a:t>
            </a:r>
          </a:p>
        </cdr:txBody>
      </cdr:sp>
      <cdr:sp macro="" textlink="">
        <cdr:nvSpPr>
          <cdr:cNvPr id="4140" name="Text 44"/>
          <cdr:cNvSpPr txBox="1">
            <a:spLocks xmlns:a="http://schemas.openxmlformats.org/drawingml/2006/main" noChangeArrowheads="1"/>
          </cdr:cNvSpPr>
        </cdr:nvSpPr>
        <cdr:spPr bwMode="auto">
          <a:xfrm xmlns:a="http://schemas.openxmlformats.org/drawingml/2006/main">
            <a:off x="7608018" y="2422215"/>
            <a:ext cx="92106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Medium Sand:</a:t>
            </a:r>
          </a:p>
        </cdr:txBody>
      </cdr:sp>
      <cdr:sp macro="" textlink="">
        <cdr:nvSpPr>
          <cdr:cNvPr id="4141" name="Text 45"/>
          <cdr:cNvSpPr txBox="1">
            <a:spLocks xmlns:a="http://schemas.openxmlformats.org/drawingml/2006/main" noChangeArrowheads="1"/>
          </cdr:cNvSpPr>
        </cdr:nvSpPr>
        <cdr:spPr bwMode="auto">
          <a:xfrm xmlns:a="http://schemas.openxmlformats.org/drawingml/2006/main">
            <a:off x="7626439" y="2632598"/>
            <a:ext cx="902646"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Sand:</a:t>
            </a:r>
          </a:p>
        </cdr:txBody>
      </cdr:sp>
      <cdr:sp macro="" textlink="">
        <cdr:nvSpPr>
          <cdr:cNvPr id="4142" name="Text 46"/>
          <cdr:cNvSpPr txBox="1">
            <a:spLocks xmlns:a="http://schemas.openxmlformats.org/drawingml/2006/main" noChangeArrowheads="1"/>
          </cdr:cNvSpPr>
        </cdr:nvSpPr>
        <cdr:spPr bwMode="auto">
          <a:xfrm xmlns:a="http://schemas.openxmlformats.org/drawingml/2006/main">
            <a:off x="7518213" y="2848592"/>
            <a:ext cx="1010872"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Very Fine Sand:</a:t>
            </a:r>
          </a:p>
        </cdr:txBody>
      </cdr:sp>
      <cdr:sp macro="" textlink="">
        <cdr:nvSpPr>
          <cdr:cNvPr id="4143" name="Text 47"/>
          <cdr:cNvSpPr txBox="1">
            <a:spLocks xmlns:a="http://schemas.openxmlformats.org/drawingml/2006/main" noChangeArrowheads="1"/>
          </cdr:cNvSpPr>
        </cdr:nvSpPr>
        <cdr:spPr bwMode="auto">
          <a:xfrm xmlns:a="http://schemas.openxmlformats.org/drawingml/2006/main">
            <a:off x="7347816" y="3054768"/>
            <a:ext cx="1181269"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Silt:</a:t>
            </a:r>
          </a:p>
        </cdr:txBody>
      </cdr:sp>
      <cdr:sp macro="" textlink="'Single Sample Statistics'!$J$13">
        <cdr:nvSpPr>
          <cdr:cNvPr id="4144" name="Text 48"/>
          <cdr:cNvSpPr txBox="1">
            <a:spLocks xmlns:a="http://schemas.openxmlformats.org/drawingml/2006/main" noChangeArrowheads="1" noTextEdit="1"/>
          </cdr:cNvSpPr>
        </cdr:nvSpPr>
        <cdr:spPr bwMode="auto">
          <a:xfrm xmlns:a="http://schemas.openxmlformats.org/drawingml/2006/main">
            <a:off x="8575138" y="1157109"/>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5FAFC02-6A34-4017-A7DA-A3B0B5F20950}" type="TxLink">
              <a:rPr lang="en-GB"/>
              <a:pPr/>
              <a:t> </a:t>
            </a:fld>
            <a:endParaRPr lang="en-GB"/>
          </a:p>
        </cdr:txBody>
      </cdr:sp>
      <cdr:sp macro="" textlink="'Single Sample Statistics'!$J$14">
        <cdr:nvSpPr>
          <cdr:cNvPr id="4145" name="Text 49"/>
          <cdr:cNvSpPr txBox="1">
            <a:spLocks xmlns:a="http://schemas.openxmlformats.org/drawingml/2006/main" noChangeArrowheads="1" noTextEdit="1"/>
          </cdr:cNvSpPr>
        </cdr:nvSpPr>
        <cdr:spPr bwMode="auto">
          <a:xfrm xmlns:a="http://schemas.openxmlformats.org/drawingml/2006/main">
            <a:off x="8575138" y="1367492"/>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48CF7E2-0620-4C76-859B-87F19C3AE706}" type="TxLink">
              <a:rPr lang="en-GB"/>
              <a:pPr/>
              <a:t> </a:t>
            </a:fld>
            <a:endParaRPr lang="en-GB"/>
          </a:p>
        </cdr:txBody>
      </cdr:sp>
      <cdr:sp macro="" textlink="'Single Sample Statistics'!$J$15">
        <cdr:nvSpPr>
          <cdr:cNvPr id="4146" name="Text 50"/>
          <cdr:cNvSpPr txBox="1">
            <a:spLocks xmlns:a="http://schemas.openxmlformats.org/drawingml/2006/main" noChangeArrowheads="1" noTextEdit="1"/>
          </cdr:cNvSpPr>
        </cdr:nvSpPr>
        <cdr:spPr bwMode="auto">
          <a:xfrm xmlns:a="http://schemas.openxmlformats.org/drawingml/2006/main">
            <a:off x="8575138" y="1577876"/>
            <a:ext cx="511193"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2989477-4AC3-4ED4-96F9-B9D723D8B6F1}" type="TxLink">
              <a:rPr lang="en-GB"/>
              <a:pPr/>
              <a:t> </a:t>
            </a:fld>
            <a:endParaRPr lang="en-GB"/>
          </a:p>
        </cdr:txBody>
      </cdr:sp>
      <cdr:sp macro="" textlink="'Single Sample Statistics'!$O$8">
        <cdr:nvSpPr>
          <cdr:cNvPr id="4147" name="Text 51"/>
          <cdr:cNvSpPr txBox="1">
            <a:spLocks xmlns:a="http://schemas.openxmlformats.org/drawingml/2006/main" noChangeArrowheads="1" noTextEdit="1"/>
          </cdr:cNvSpPr>
        </cdr:nvSpPr>
        <cdr:spPr bwMode="auto">
          <a:xfrm xmlns:a="http://schemas.openxmlformats.org/drawingml/2006/main">
            <a:off x="8575138" y="2206221"/>
            <a:ext cx="492772"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02EA841-F240-46E0-9D6F-8FB9372D370E}" type="TxLink">
              <a:rPr lang="en-GB"/>
              <a:pPr/>
              <a:t> </a:t>
            </a:fld>
            <a:endParaRPr lang="en-GB"/>
          </a:p>
        </cdr:txBody>
      </cdr:sp>
      <cdr:sp macro="" textlink="'Single Sample Statistics'!$O$10">
        <cdr:nvSpPr>
          <cdr:cNvPr id="4149" name="Text 53"/>
          <cdr:cNvSpPr txBox="1">
            <a:spLocks xmlns:a="http://schemas.openxmlformats.org/drawingml/2006/main" noChangeArrowheads="1" noTextEdit="1"/>
          </cdr:cNvSpPr>
        </cdr:nvSpPr>
        <cdr:spPr bwMode="auto">
          <a:xfrm xmlns:a="http://schemas.openxmlformats.org/drawingml/2006/main">
            <a:off x="8575138" y="2632598"/>
            <a:ext cx="52961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4938FEB5-009B-4686-997C-03A6A7E56C68}" type="TxLink">
              <a:rPr lang="en-GB"/>
              <a:pPr/>
              <a:t> </a:t>
            </a:fld>
            <a:endParaRPr lang="en-GB"/>
          </a:p>
        </cdr:txBody>
      </cdr:sp>
      <cdr:sp macro="" textlink="'Single Sample Statistics'!$O$11">
        <cdr:nvSpPr>
          <cdr:cNvPr id="4150" name="Text 54"/>
          <cdr:cNvSpPr txBox="1">
            <a:spLocks xmlns:a="http://schemas.openxmlformats.org/drawingml/2006/main" noChangeArrowheads="1" noTextEdit="1"/>
          </cdr:cNvSpPr>
        </cdr:nvSpPr>
        <cdr:spPr bwMode="auto">
          <a:xfrm xmlns:a="http://schemas.openxmlformats.org/drawingml/2006/main">
            <a:off x="8575138" y="2848592"/>
            <a:ext cx="474350"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B959C63-91B2-4C4A-821E-1D2945A7906D}" type="TxLink">
              <a:rPr lang="en-GB"/>
              <a:pPr/>
              <a:t> </a:t>
            </a:fld>
            <a:endParaRPr lang="en-GB"/>
          </a:p>
        </cdr:txBody>
      </cdr:sp>
      <cdr:sp macro="" textlink="'Single Sample Statistics'!$O$12">
        <cdr:nvSpPr>
          <cdr:cNvPr id="4151" name="Text 55"/>
          <cdr:cNvSpPr txBox="1">
            <a:spLocks xmlns:a="http://schemas.openxmlformats.org/drawingml/2006/main" noChangeArrowheads="1" noTextEdit="1"/>
          </cdr:cNvSpPr>
        </cdr:nvSpPr>
        <cdr:spPr bwMode="auto">
          <a:xfrm xmlns:a="http://schemas.openxmlformats.org/drawingml/2006/main">
            <a:off x="8575138" y="3054768"/>
            <a:ext cx="4651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2CA9B8AE-51D2-4F0F-982E-9041E2E1C804}" type="TxLink">
              <a:rPr lang="en-GB"/>
              <a:pPr/>
              <a:t> </a:t>
            </a:fld>
            <a:endParaRPr lang="en-GB"/>
          </a:p>
        </cdr:txBody>
      </cdr:sp>
      <cdr:sp macro="" textlink="'Single Sample Statistics'!$O$9">
        <cdr:nvSpPr>
          <cdr:cNvPr id="4154" name="Text 58"/>
          <cdr:cNvSpPr txBox="1">
            <a:spLocks xmlns:a="http://schemas.openxmlformats.org/drawingml/2006/main" noChangeArrowheads="1" noTextEdit="1"/>
          </cdr:cNvSpPr>
        </cdr:nvSpPr>
        <cdr:spPr bwMode="auto">
          <a:xfrm xmlns:a="http://schemas.openxmlformats.org/drawingml/2006/main">
            <a:off x="8575138" y="2422215"/>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9832FB6-64AE-453F-99FA-A7D619A38A65}" type="TxLink">
              <a:rPr lang="en-GB"/>
              <a:pPr/>
              <a:t> </a:t>
            </a:fld>
            <a:endParaRPr lang="en-GB"/>
          </a:p>
        </cdr:txBody>
      </cdr:sp>
      <cdr:sp macro="" textlink="">
        <cdr:nvSpPr>
          <cdr:cNvPr id="4414" name="Text 40"/>
          <cdr:cNvSpPr txBox="1">
            <a:spLocks xmlns:a="http://schemas.openxmlformats.org/drawingml/2006/main" noChangeArrowheads="1"/>
          </cdr:cNvSpPr>
        </cdr:nvSpPr>
        <cdr:spPr bwMode="auto">
          <a:xfrm xmlns:a="http://schemas.openxmlformats.org/drawingml/2006/main">
            <a:off x="7304065" y="945323"/>
            <a:ext cx="1225020"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Gravel:</a:t>
            </a:r>
          </a:p>
        </cdr:txBody>
      </cdr:sp>
      <cdr:sp macro="" textlink="'Single Sample Statistics'!$J$12">
        <cdr:nvSpPr>
          <cdr:cNvPr id="4416" name="Text 48"/>
          <cdr:cNvSpPr txBox="1">
            <a:spLocks xmlns:a="http://schemas.openxmlformats.org/drawingml/2006/main" noChangeArrowheads="1" noTextEdit="1"/>
          </cdr:cNvSpPr>
        </cdr:nvSpPr>
        <cdr:spPr bwMode="auto">
          <a:xfrm xmlns:a="http://schemas.openxmlformats.org/drawingml/2006/main">
            <a:off x="8575138" y="945323"/>
            <a:ext cx="465140"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4386921-2B04-47A3-B245-1AC15767AFA0}" type="TxLink">
              <a:rPr lang="en-GB"/>
              <a:pPr/>
              <a:t> </a:t>
            </a:fld>
            <a:endParaRPr lang="en-GB"/>
          </a:p>
        </cdr:txBody>
      </cdr:sp>
      <cdr:sp macro="" textlink="">
        <cdr:nvSpPr>
          <cdr:cNvPr id="4715" name="Text 43"/>
          <cdr:cNvSpPr txBox="1">
            <a:spLocks xmlns:a="http://schemas.openxmlformats.org/drawingml/2006/main" noChangeArrowheads="1"/>
          </cdr:cNvSpPr>
        </cdr:nvSpPr>
        <cdr:spPr bwMode="auto">
          <a:xfrm xmlns:a="http://schemas.openxmlformats.org/drawingml/2006/main">
            <a:off x="7230380" y="2000045"/>
            <a:ext cx="1298705"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Sand:</a:t>
            </a:r>
          </a:p>
        </cdr:txBody>
      </cdr:sp>
      <cdr:sp macro="" textlink="">
        <cdr:nvSpPr>
          <cdr:cNvPr id="4716" name="Text 43"/>
          <cdr:cNvSpPr txBox="1">
            <a:spLocks xmlns:a="http://schemas.openxmlformats.org/drawingml/2006/main" noChangeArrowheads="1"/>
          </cdr:cNvSpPr>
        </cdr:nvSpPr>
        <cdr:spPr bwMode="auto">
          <a:xfrm xmlns:a="http://schemas.openxmlformats.org/drawingml/2006/main">
            <a:off x="7545845" y="3265151"/>
            <a:ext cx="9832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Silt:</a:t>
            </a:r>
          </a:p>
        </cdr:txBody>
      </cdr:sp>
      <cdr:sp macro="" textlink="">
        <cdr:nvSpPr>
          <cdr:cNvPr id="4717" name="Text 43"/>
          <cdr:cNvSpPr txBox="1">
            <a:spLocks xmlns:a="http://schemas.openxmlformats.org/drawingml/2006/main" noChangeArrowheads="1"/>
          </cdr:cNvSpPr>
        </cdr:nvSpPr>
        <cdr:spPr bwMode="auto">
          <a:xfrm xmlns:a="http://schemas.openxmlformats.org/drawingml/2006/main">
            <a:off x="7545845" y="4109490"/>
            <a:ext cx="9832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Clay:</a:t>
            </a:r>
          </a:p>
        </cdr:txBody>
      </cdr:sp>
      <cdr:sp macro="" textlink="">
        <cdr:nvSpPr>
          <cdr:cNvPr id="4718" name="Text 43"/>
          <cdr:cNvSpPr txBox="1">
            <a:spLocks xmlns:a="http://schemas.openxmlformats.org/drawingml/2006/main" noChangeArrowheads="1"/>
          </cdr:cNvSpPr>
        </cdr:nvSpPr>
        <cdr:spPr bwMode="auto">
          <a:xfrm xmlns:a="http://schemas.openxmlformats.org/drawingml/2006/main">
            <a:off x="7545845" y="3687320"/>
            <a:ext cx="9832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Fine Silt:</a:t>
            </a:r>
          </a:p>
        </cdr:txBody>
      </cdr:sp>
      <cdr:sp macro="" textlink="">
        <cdr:nvSpPr>
          <cdr:cNvPr id="4719" name="Text 43"/>
          <cdr:cNvSpPr txBox="1">
            <a:spLocks xmlns:a="http://schemas.openxmlformats.org/drawingml/2006/main" noChangeArrowheads="1"/>
          </cdr:cNvSpPr>
        </cdr:nvSpPr>
        <cdr:spPr bwMode="auto">
          <a:xfrm xmlns:a="http://schemas.openxmlformats.org/drawingml/2006/main">
            <a:off x="7375448" y="1789662"/>
            <a:ext cx="115363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Gravel:</a:t>
            </a:r>
          </a:p>
        </cdr:txBody>
      </cdr:sp>
      <cdr:sp macro="" textlink="'Single Sample Statistics'!$J$17">
        <cdr:nvSpPr>
          <cdr:cNvPr id="4720" name="Text 50"/>
          <cdr:cNvSpPr txBox="1">
            <a:spLocks xmlns:a="http://schemas.openxmlformats.org/drawingml/2006/main" noChangeArrowheads="1" noTextEdit="1"/>
          </cdr:cNvSpPr>
        </cdr:nvSpPr>
        <cdr:spPr bwMode="auto">
          <a:xfrm xmlns:a="http://schemas.openxmlformats.org/drawingml/2006/main">
            <a:off x="8575138" y="2000045"/>
            <a:ext cx="522706"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EC4689B-0AB9-4382-83DE-CB658339C3E7}" type="TxLink">
              <a:rPr lang="en-GB"/>
              <a:pPr/>
              <a:t> </a:t>
            </a:fld>
            <a:endParaRPr lang="en-GB"/>
          </a:p>
        </cdr:txBody>
      </cdr:sp>
      <cdr:sp macro="" textlink="'Single Sample Statistics'!$J$16">
        <cdr:nvSpPr>
          <cdr:cNvPr id="4721" name="Text 50"/>
          <cdr:cNvSpPr txBox="1">
            <a:spLocks xmlns:a="http://schemas.openxmlformats.org/drawingml/2006/main" noChangeArrowheads="1" noTextEdit="1"/>
          </cdr:cNvSpPr>
        </cdr:nvSpPr>
        <cdr:spPr bwMode="auto">
          <a:xfrm xmlns:a="http://schemas.openxmlformats.org/drawingml/2006/main">
            <a:off x="8575138" y="1789662"/>
            <a:ext cx="511193"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426294D-A16A-4374-9165-6EF7FA5D9EB5}" type="TxLink">
              <a:rPr lang="en-GB"/>
              <a:pPr/>
              <a:t> </a:t>
            </a:fld>
            <a:endParaRPr lang="en-GB"/>
          </a:p>
        </cdr:txBody>
      </cdr:sp>
      <cdr:sp macro="" textlink="">
        <cdr:nvSpPr>
          <cdr:cNvPr id="4722" name="Text 43"/>
          <cdr:cNvSpPr txBox="1">
            <a:spLocks xmlns:a="http://schemas.openxmlformats.org/drawingml/2006/main" noChangeArrowheads="1"/>
          </cdr:cNvSpPr>
        </cdr:nvSpPr>
        <cdr:spPr bwMode="auto">
          <a:xfrm xmlns:a="http://schemas.openxmlformats.org/drawingml/2006/main">
            <a:off x="7552754" y="3476937"/>
            <a:ext cx="97633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Silt:</a:t>
            </a:r>
          </a:p>
        </cdr:txBody>
      </cdr:sp>
      <cdr:sp macro="" textlink="">
        <cdr:nvSpPr>
          <cdr:cNvPr id="4723" name="Text 43"/>
          <cdr:cNvSpPr txBox="1">
            <a:spLocks xmlns:a="http://schemas.openxmlformats.org/drawingml/2006/main" noChangeArrowheads="1"/>
          </cdr:cNvSpPr>
        </cdr:nvSpPr>
        <cdr:spPr bwMode="auto">
          <a:xfrm xmlns:a="http://schemas.openxmlformats.org/drawingml/2006/main">
            <a:off x="7552754" y="3897704"/>
            <a:ext cx="976331"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Silt:</a:t>
            </a:r>
          </a:p>
        </cdr:txBody>
      </cdr:sp>
      <cdr:sp macro="" textlink="'Single Sample Statistics'!$O$17">
        <cdr:nvSpPr>
          <cdr:cNvPr id="4724" name="Text 54"/>
          <cdr:cNvSpPr txBox="1">
            <a:spLocks xmlns:a="http://schemas.openxmlformats.org/drawingml/2006/main" noChangeArrowheads="1" noTextEdit="1"/>
          </cdr:cNvSpPr>
        </cdr:nvSpPr>
        <cdr:spPr bwMode="auto">
          <a:xfrm xmlns:a="http://schemas.openxmlformats.org/drawingml/2006/main">
            <a:off x="8575138" y="4109490"/>
            <a:ext cx="483561"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F5130B1-DFE8-4C2F-A596-EAE614B2F482}" type="TxLink">
              <a:rPr lang="en-GB"/>
              <a:pPr/>
              <a:t> </a:t>
            </a:fld>
            <a:endParaRPr lang="en-GB"/>
          </a:p>
        </cdr:txBody>
      </cdr:sp>
      <cdr:sp macro="" textlink="'Single Sample Statistics'!$O$16">
        <cdr:nvSpPr>
          <cdr:cNvPr id="4725" name="Text 54"/>
          <cdr:cNvSpPr txBox="1">
            <a:spLocks xmlns:a="http://schemas.openxmlformats.org/drawingml/2006/main" noChangeArrowheads="1"/>
          </cdr:cNvSpPr>
        </cdr:nvSpPr>
        <cdr:spPr bwMode="auto">
          <a:xfrm xmlns:a="http://schemas.openxmlformats.org/drawingml/2006/main">
            <a:off x="8575138" y="3897704"/>
            <a:ext cx="47435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7265CCF-D2E9-4F78-ADD7-C9121697717A}" type="TxLink">
              <a:rPr lang="en-GB"/>
              <a:pPr/>
              <a:t> </a:t>
            </a:fld>
            <a:endParaRPr lang="en-GB"/>
          </a:p>
        </cdr:txBody>
      </cdr:sp>
      <cdr:sp macro="" textlink="'Single Sample Statistics'!$O$15">
        <cdr:nvSpPr>
          <cdr:cNvPr id="4726" name="Text 54"/>
          <cdr:cNvSpPr txBox="1">
            <a:spLocks xmlns:a="http://schemas.openxmlformats.org/drawingml/2006/main" noChangeArrowheads="1" noTextEdit="1"/>
          </cdr:cNvSpPr>
        </cdr:nvSpPr>
        <cdr:spPr bwMode="auto">
          <a:xfrm xmlns:a="http://schemas.openxmlformats.org/drawingml/2006/main">
            <a:off x="8575138" y="3687320"/>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D192DD8F-0DAB-4DCD-AD66-729F38138C83}" type="TxLink">
              <a:rPr lang="en-GB"/>
              <a:pPr/>
              <a:t> </a:t>
            </a:fld>
            <a:endParaRPr lang="en-GB"/>
          </a:p>
        </cdr:txBody>
      </cdr:sp>
      <cdr:sp macro="" textlink="'Single Sample Statistics'!$O$14">
        <cdr:nvSpPr>
          <cdr:cNvPr id="4727" name="Text 54"/>
          <cdr:cNvSpPr txBox="1">
            <a:spLocks xmlns:a="http://schemas.openxmlformats.org/drawingml/2006/main" noChangeArrowheads="1" noTextEdit="1"/>
          </cdr:cNvSpPr>
        </cdr:nvSpPr>
        <cdr:spPr bwMode="auto">
          <a:xfrm xmlns:a="http://schemas.openxmlformats.org/drawingml/2006/main">
            <a:off x="8575138" y="3476937"/>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723F490-6AE3-4F95-A2ED-8BBFE2898113}" type="TxLink">
              <a:rPr lang="en-GB"/>
              <a:pPr/>
              <a:t> </a:t>
            </a:fld>
            <a:endParaRPr lang="en-GB"/>
          </a:p>
        </cdr:txBody>
      </cdr:sp>
      <cdr:sp macro="" textlink="'Single Sample Statistics'!$O$13">
        <cdr:nvSpPr>
          <cdr:cNvPr id="4728" name="Text 54"/>
          <cdr:cNvSpPr txBox="1">
            <a:spLocks xmlns:a="http://schemas.openxmlformats.org/drawingml/2006/main" noChangeArrowheads="1" noTextEdit="1"/>
          </cdr:cNvSpPr>
        </cdr:nvSpPr>
        <cdr:spPr bwMode="auto">
          <a:xfrm xmlns:a="http://schemas.openxmlformats.org/drawingml/2006/main">
            <a:off x="8575138" y="3265151"/>
            <a:ext cx="48356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BD044F4-E391-4C50-9063-1AC5F9BDAAAF}" type="TxLink">
              <a:rPr lang="en-GB"/>
              <a:pPr/>
              <a:t> </a:t>
            </a:fld>
            <a:endParaRPr lang="en-GB"/>
          </a:p>
        </cdr:txBody>
      </cdr:sp>
    </cdr:grpSp>
  </cdr:relSizeAnchor>
</c:userShapes>
</file>

<file path=xl/drawings/drawing8.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0.12725</cdr:x>
      <cdr:y>0.043</cdr:y>
    </cdr:from>
    <cdr:to>
      <cdr:x>0.76825</cdr:x>
      <cdr:y>0.956</cdr:y>
    </cdr:to>
    <cdr:sp macro="" textlink="">
      <cdr:nvSpPr>
        <cdr:cNvPr id="12289" name="Drawing 1"/>
        <cdr:cNvSpPr>
          <a:spLocks xmlns:a="http://schemas.openxmlformats.org/drawingml/2006/main"/>
        </cdr:cNvSpPr>
      </cdr:nvSpPr>
      <cdr:spPr bwMode="auto">
        <a:xfrm xmlns:a="http://schemas.openxmlformats.org/drawingml/2006/main">
          <a:off x="1172058" y="241649"/>
          <a:ext cx="5904043" cy="5130832"/>
        </a:xfrm>
        <a:custGeom xmlns:a="http://schemas.openxmlformats.org/drawingml/2006/main">
          <a:avLst/>
          <a:gdLst/>
          <a:ahLst/>
          <a:cxnLst>
            <a:cxn ang="0">
              <a:pos x="0" y="16384"/>
            </a:cxn>
            <a:cxn ang="0">
              <a:pos x="8194" y="0"/>
            </a:cxn>
            <a:cxn ang="0">
              <a:pos x="16384" y="16379"/>
            </a:cxn>
            <a:cxn ang="0">
              <a:pos x="0" y="16384"/>
            </a:cxn>
          </a:cxnLst>
          <a:rect l="0" t="0" r="r" b="b"/>
          <a:pathLst>
            <a:path w="16384" h="16384">
              <a:moveTo>
                <a:pt x="0" y="16384"/>
              </a:moveTo>
              <a:lnTo>
                <a:pt x="8194" y="0"/>
              </a:lnTo>
              <a:lnTo>
                <a:pt x="16384" y="16379"/>
              </a:lnTo>
              <a:lnTo>
                <a:pt x="0" y="16384"/>
              </a:lnTo>
              <a:close/>
            </a:path>
          </a:pathLst>
        </a:custGeom>
        <a:noFill xmlns:a="http://schemas.openxmlformats.org/drawingml/2006/main"/>
        <a:ln xmlns:a="http://schemas.openxmlformats.org/drawingml/2006/main" w="9525">
          <a:solidFill>
            <a:srgbClr val="000000"/>
          </a:solidFill>
          <a:prstDash val="solid"/>
          <a:round/>
          <a:headEnd/>
          <a:tailEnd/>
        </a:ln>
      </cdr:spPr>
    </cdr:sp>
  </cdr:relSizeAnchor>
  <cdr:relSizeAnchor xmlns:cdr="http://schemas.openxmlformats.org/drawingml/2006/chartDrawing">
    <cdr:from>
      <cdr:x>0.15825</cdr:x>
      <cdr:y>0.86525</cdr:y>
    </cdr:from>
    <cdr:to>
      <cdr:x>0.736</cdr:x>
      <cdr:y>0.86525</cdr:y>
    </cdr:to>
    <cdr:sp macro="" textlink="">
      <cdr:nvSpPr>
        <cdr:cNvPr id="12291" name="Line 3"/>
        <cdr:cNvSpPr>
          <a:spLocks xmlns:a="http://schemas.openxmlformats.org/drawingml/2006/main" noChangeShapeType="1"/>
        </cdr:cNvSpPr>
      </cdr:nvSpPr>
      <cdr:spPr bwMode="auto">
        <a:xfrm xmlns:a="http://schemas.openxmlformats.org/drawingml/2006/main">
          <a:off x="1457589" y="4862489"/>
          <a:ext cx="5321468"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0.286</cdr:x>
      <cdr:y>0.502</cdr:y>
    </cdr:from>
    <cdr:to>
      <cdr:x>0.6075</cdr:x>
      <cdr:y>0.502</cdr:y>
    </cdr:to>
    <cdr:sp macro="" textlink="">
      <cdr:nvSpPr>
        <cdr:cNvPr id="12292" name="Line 4"/>
        <cdr:cNvSpPr>
          <a:spLocks xmlns:a="http://schemas.openxmlformats.org/drawingml/2006/main" noChangeShapeType="1"/>
        </cdr:cNvSpPr>
      </cdr:nvSpPr>
      <cdr:spPr bwMode="auto">
        <a:xfrm xmlns:a="http://schemas.openxmlformats.org/drawingml/2006/main" flipV="1">
          <a:off x="2634253" y="2821115"/>
          <a:ext cx="2961232"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0.4145</cdr:x>
      <cdr:y>0.13475</cdr:y>
    </cdr:from>
    <cdr:to>
      <cdr:x>0.47875</cdr:x>
      <cdr:y>0.13475</cdr:y>
    </cdr:to>
    <cdr:sp macro="" textlink="">
      <cdr:nvSpPr>
        <cdr:cNvPr id="12293" name="Line 5"/>
        <cdr:cNvSpPr>
          <a:spLocks xmlns:a="http://schemas.openxmlformats.org/drawingml/2006/main" noChangeShapeType="1"/>
        </cdr:cNvSpPr>
      </cdr:nvSpPr>
      <cdr:spPr bwMode="auto">
        <a:xfrm xmlns:a="http://schemas.openxmlformats.org/drawingml/2006/main">
          <a:off x="3817825" y="757261"/>
          <a:ext cx="591786"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0.4575</cdr:x>
      <cdr:y>0.13475</cdr:y>
    </cdr:from>
    <cdr:to>
      <cdr:x>0.55475</cdr:x>
      <cdr:y>0.956</cdr:y>
    </cdr:to>
    <cdr:sp macro="" textlink="">
      <cdr:nvSpPr>
        <cdr:cNvPr id="12296" name="Line 8"/>
        <cdr:cNvSpPr>
          <a:spLocks xmlns:a="http://schemas.openxmlformats.org/drawingml/2006/main" noChangeShapeType="1"/>
        </cdr:cNvSpPr>
      </cdr:nvSpPr>
      <cdr:spPr bwMode="auto">
        <a:xfrm xmlns:a="http://schemas.openxmlformats.org/drawingml/2006/main" flipH="1" flipV="1">
          <a:off x="4213884" y="757261"/>
          <a:ext cx="895738" cy="461522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0.76825</cdr:x>
      <cdr:y>0.9415</cdr:y>
    </cdr:from>
    <cdr:to>
      <cdr:x>0.8345</cdr:x>
      <cdr:y>0.9755</cdr:y>
    </cdr:to>
    <cdr:sp macro="" textlink="">
      <cdr:nvSpPr>
        <cdr:cNvPr id="12297" name="Text 9"/>
        <cdr:cNvSpPr txBox="1">
          <a:spLocks xmlns:a="http://schemas.openxmlformats.org/drawingml/2006/main" noChangeArrowheads="1"/>
        </cdr:cNvSpPr>
      </cdr:nvSpPr>
      <cdr:spPr bwMode="auto">
        <a:xfrm xmlns:a="http://schemas.openxmlformats.org/drawingml/2006/main">
          <a:off x="7076101" y="5290995"/>
          <a:ext cx="610207"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Silt</a:t>
          </a:r>
        </a:p>
      </cdr:txBody>
    </cdr:sp>
  </cdr:relSizeAnchor>
  <cdr:relSizeAnchor xmlns:cdr="http://schemas.openxmlformats.org/drawingml/2006/chartDrawing">
    <cdr:from>
      <cdr:x>0.08725</cdr:x>
      <cdr:y>0.9415</cdr:y>
    </cdr:from>
    <cdr:to>
      <cdr:x>0.141</cdr:x>
      <cdr:y>0.9755</cdr:y>
    </cdr:to>
    <cdr:sp macro="" textlink="">
      <cdr:nvSpPr>
        <cdr:cNvPr id="12298" name="Text 10"/>
        <cdr:cNvSpPr txBox="1">
          <a:spLocks xmlns:a="http://schemas.openxmlformats.org/drawingml/2006/main" noChangeArrowheads="1"/>
        </cdr:cNvSpPr>
      </cdr:nvSpPr>
      <cdr:spPr bwMode="auto">
        <a:xfrm xmlns:a="http://schemas.openxmlformats.org/drawingml/2006/main">
          <a:off x="803631" y="5290995"/>
          <a:ext cx="495074"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Clay</a:t>
          </a:r>
        </a:p>
      </cdr:txBody>
    </cdr:sp>
  </cdr:relSizeAnchor>
  <cdr:relSizeAnchor xmlns:cdr="http://schemas.openxmlformats.org/drawingml/2006/chartDrawing">
    <cdr:from>
      <cdr:x>0.42625</cdr:x>
      <cdr:y>0.012</cdr:y>
    </cdr:from>
    <cdr:to>
      <cdr:x>0.482</cdr:x>
      <cdr:y>0.046</cdr:y>
    </cdr:to>
    <cdr:sp macro="" textlink="">
      <cdr:nvSpPr>
        <cdr:cNvPr id="12299" name="Text 11"/>
        <cdr:cNvSpPr txBox="1">
          <a:spLocks xmlns:a="http://schemas.openxmlformats.org/drawingml/2006/main" noChangeArrowheads="1"/>
        </cdr:cNvSpPr>
      </cdr:nvSpPr>
      <cdr:spPr bwMode="auto">
        <a:xfrm xmlns:a="http://schemas.openxmlformats.org/drawingml/2006/main">
          <a:off x="3926050" y="67437"/>
          <a:ext cx="513495"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Sand</a:t>
          </a:r>
        </a:p>
      </cdr:txBody>
    </cdr:sp>
  </cdr:relSizeAnchor>
  <cdr:relSizeAnchor xmlns:cdr="http://schemas.openxmlformats.org/drawingml/2006/chartDrawing">
    <cdr:from>
      <cdr:x>0.38625</cdr:x>
      <cdr:y>0.12125</cdr:y>
    </cdr:from>
    <cdr:to>
      <cdr:x>0.4235</cdr:x>
      <cdr:y>0.15525</cdr:y>
    </cdr:to>
    <cdr:sp macro="" textlink="">
      <cdr:nvSpPr>
        <cdr:cNvPr id="12300" name="Text 12"/>
        <cdr:cNvSpPr txBox="1">
          <a:spLocks xmlns:a="http://schemas.openxmlformats.org/drawingml/2006/main" noChangeArrowheads="1"/>
        </cdr:cNvSpPr>
      </cdr:nvSpPr>
      <cdr:spPr bwMode="auto">
        <a:xfrm xmlns:a="http://schemas.openxmlformats.org/drawingml/2006/main">
          <a:off x="3557623" y="681395"/>
          <a:ext cx="343098"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90%</a:t>
          </a:r>
        </a:p>
      </cdr:txBody>
    </cdr:sp>
  </cdr:relSizeAnchor>
  <cdr:relSizeAnchor xmlns:cdr="http://schemas.openxmlformats.org/drawingml/2006/chartDrawing">
    <cdr:from>
      <cdr:x>0.25775</cdr:x>
      <cdr:y>0.4875</cdr:y>
    </cdr:from>
    <cdr:to>
      <cdr:x>0.299</cdr:x>
      <cdr:y>0.5145</cdr:y>
    </cdr:to>
    <cdr:sp macro="" textlink="">
      <cdr:nvSpPr>
        <cdr:cNvPr id="12301" name="Text 13"/>
        <cdr:cNvSpPr txBox="1">
          <a:spLocks xmlns:a="http://schemas.openxmlformats.org/drawingml/2006/main" noChangeArrowheads="1"/>
        </cdr:cNvSpPr>
      </cdr:nvSpPr>
      <cdr:spPr bwMode="auto">
        <a:xfrm xmlns:a="http://schemas.openxmlformats.org/drawingml/2006/main">
          <a:off x="2374051" y="2739628"/>
          <a:ext cx="379941"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50%</a:t>
          </a:r>
        </a:p>
      </cdr:txBody>
    </cdr:sp>
  </cdr:relSizeAnchor>
  <cdr:relSizeAnchor xmlns:cdr="http://schemas.openxmlformats.org/drawingml/2006/chartDrawing">
    <cdr:from>
      <cdr:x>0.131</cdr:x>
      <cdr:y>0.84775</cdr:y>
    </cdr:from>
    <cdr:to>
      <cdr:x>0.16825</cdr:x>
      <cdr:y>0.87475</cdr:y>
    </cdr:to>
    <cdr:sp macro="" textlink="">
      <cdr:nvSpPr>
        <cdr:cNvPr id="12302" name="Text 14"/>
        <cdr:cNvSpPr txBox="1">
          <a:spLocks xmlns:a="http://schemas.openxmlformats.org/drawingml/2006/main" noChangeArrowheads="1"/>
        </cdr:cNvSpPr>
      </cdr:nvSpPr>
      <cdr:spPr bwMode="auto">
        <a:xfrm xmlns:a="http://schemas.openxmlformats.org/drawingml/2006/main">
          <a:off x="1206598" y="4764143"/>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10%</a:t>
          </a:r>
        </a:p>
      </cdr:txBody>
    </cdr:sp>
  </cdr:relSizeAnchor>
  <cdr:relSizeAnchor xmlns:cdr="http://schemas.openxmlformats.org/drawingml/2006/chartDrawing">
    <cdr:from>
      <cdr:x>0.327</cdr:x>
      <cdr:y>0.96175</cdr:y>
    </cdr:from>
    <cdr:to>
      <cdr:x>0.36425</cdr:x>
      <cdr:y>0.98875</cdr:y>
    </cdr:to>
    <cdr:sp macro="" textlink="">
      <cdr:nvSpPr>
        <cdr:cNvPr id="12304" name="Text 16"/>
        <cdr:cNvSpPr txBox="1">
          <a:spLocks xmlns:a="http://schemas.openxmlformats.org/drawingml/2006/main" noChangeArrowheads="1"/>
        </cdr:cNvSpPr>
      </cdr:nvSpPr>
      <cdr:spPr bwMode="auto">
        <a:xfrm xmlns:a="http://schemas.openxmlformats.org/drawingml/2006/main">
          <a:off x="3011891" y="5404795"/>
          <a:ext cx="343097"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1:2</a:t>
          </a:r>
        </a:p>
      </cdr:txBody>
    </cdr:sp>
  </cdr:relSizeAnchor>
  <cdr:relSizeAnchor xmlns:cdr="http://schemas.openxmlformats.org/drawingml/2006/chartDrawing">
    <cdr:from>
      <cdr:x>0.545</cdr:x>
      <cdr:y>0.96175</cdr:y>
    </cdr:from>
    <cdr:to>
      <cdr:x>0.58225</cdr:x>
      <cdr:y>0.98875</cdr:y>
    </cdr:to>
    <cdr:sp macro="" textlink="">
      <cdr:nvSpPr>
        <cdr:cNvPr id="12306" name="Text 18"/>
        <cdr:cNvSpPr txBox="1">
          <a:spLocks xmlns:a="http://schemas.openxmlformats.org/drawingml/2006/main" noChangeArrowheads="1"/>
        </cdr:cNvSpPr>
      </cdr:nvSpPr>
      <cdr:spPr bwMode="auto">
        <a:xfrm xmlns:a="http://schemas.openxmlformats.org/drawingml/2006/main">
          <a:off x="5019818" y="540479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2:1</a:t>
          </a:r>
        </a:p>
      </cdr:txBody>
    </cdr:sp>
  </cdr:relSizeAnchor>
  <cdr:relSizeAnchor xmlns:cdr="http://schemas.openxmlformats.org/drawingml/2006/chartDrawing">
    <cdr:from>
      <cdr:x>0.39125</cdr:x>
      <cdr:y>0.966</cdr:y>
    </cdr:from>
    <cdr:to>
      <cdr:x>0.57325</cdr:x>
      <cdr:y>1</cdr:y>
    </cdr:to>
    <cdr:sp macro="" textlink="">
      <cdr:nvSpPr>
        <cdr:cNvPr id="12307" name="Text 19"/>
        <cdr:cNvSpPr txBox="1">
          <a:spLocks xmlns:a="http://schemas.openxmlformats.org/drawingml/2006/main" noChangeArrowheads="1"/>
        </cdr:cNvSpPr>
      </cdr:nvSpPr>
      <cdr:spPr bwMode="auto">
        <a:xfrm xmlns:a="http://schemas.openxmlformats.org/drawingml/2006/main">
          <a:off x="3603677" y="5559338"/>
          <a:ext cx="1676342"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Silt:Clay Ratio</a:t>
          </a:r>
        </a:p>
      </cdr:txBody>
    </cdr:sp>
  </cdr:relSizeAnchor>
  <cdr:relSizeAnchor xmlns:cdr="http://schemas.openxmlformats.org/drawingml/2006/chartDrawing">
    <cdr:from>
      <cdr:x>0.21775</cdr:x>
      <cdr:y>0.4265</cdr:y>
    </cdr:from>
    <cdr:to>
      <cdr:x>0.313</cdr:x>
      <cdr:y>0.4605</cdr:y>
    </cdr:to>
    <cdr:sp macro="" textlink="">
      <cdr:nvSpPr>
        <cdr:cNvPr id="12308" name="Text 20"/>
        <cdr:cNvSpPr txBox="1">
          <a:spLocks xmlns:a="http://schemas.openxmlformats.org/drawingml/2006/main" noChangeArrowheads="1"/>
        </cdr:cNvSpPr>
      </cdr:nvSpPr>
      <cdr:spPr bwMode="auto">
        <a:xfrm xmlns:a="http://schemas.openxmlformats.org/drawingml/2006/main">
          <a:off x="2005624" y="2396823"/>
          <a:ext cx="877317"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Sand %</a:t>
          </a:r>
        </a:p>
      </cdr:txBody>
    </cdr:sp>
  </cdr:relSizeAnchor>
  <cdr:relSizeAnchor xmlns:cdr="http://schemas.openxmlformats.org/drawingml/2006/chartDrawing">
    <cdr:from>
      <cdr:x>0.433</cdr:x>
      <cdr:y>0.09425</cdr:y>
    </cdr:from>
    <cdr:to>
      <cdr:x>0.47025</cdr:x>
      <cdr:y>0.14175</cdr:y>
    </cdr:to>
    <cdr:sp macro="" textlink="">
      <cdr:nvSpPr>
        <cdr:cNvPr id="12309" name="Text 61"/>
        <cdr:cNvSpPr txBox="1">
          <a:spLocks xmlns:a="http://schemas.openxmlformats.org/drawingml/2006/main" noChangeArrowheads="1"/>
        </cdr:cNvSpPr>
      </cdr:nvSpPr>
      <cdr:spPr bwMode="auto">
        <a:xfrm xmlns:a="http://schemas.openxmlformats.org/drawingml/2006/main">
          <a:off x="3988222" y="529661"/>
          <a:ext cx="343098" cy="26693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a:t>
          </a:r>
        </a:p>
      </cdr:txBody>
    </cdr:sp>
  </cdr:relSizeAnchor>
  <cdr:relSizeAnchor xmlns:cdr="http://schemas.openxmlformats.org/drawingml/2006/chartDrawing">
    <cdr:from>
      <cdr:x>0.327</cdr:x>
      <cdr:y>0.39275</cdr:y>
    </cdr:from>
    <cdr:to>
      <cdr:x>0.42225</cdr:x>
      <cdr:y>0.45375</cdr:y>
    </cdr:to>
    <cdr:sp macro="" textlink="">
      <cdr:nvSpPr>
        <cdr:cNvPr id="12310" name="Text 62"/>
        <cdr:cNvSpPr txBox="1">
          <a:spLocks xmlns:a="http://schemas.openxmlformats.org/drawingml/2006/main" noChangeArrowheads="1"/>
        </cdr:cNvSpPr>
      </cdr:nvSpPr>
      <cdr:spPr bwMode="auto">
        <a:xfrm xmlns:a="http://schemas.openxmlformats.org/drawingml/2006/main">
          <a:off x="3011891" y="2207157"/>
          <a:ext cx="877317"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Clayey Sand</a:t>
          </a:r>
        </a:p>
      </cdr:txBody>
    </cdr:sp>
  </cdr:relSizeAnchor>
  <cdr:relSizeAnchor xmlns:cdr="http://schemas.openxmlformats.org/drawingml/2006/chartDrawing">
    <cdr:from>
      <cdr:x>0.4145</cdr:x>
      <cdr:y>0.39275</cdr:y>
    </cdr:from>
    <cdr:to>
      <cdr:x>0.489</cdr:x>
      <cdr:y>0.45375</cdr:y>
    </cdr:to>
    <cdr:sp macro="" textlink="">
      <cdr:nvSpPr>
        <cdr:cNvPr id="12311" name="Text 63"/>
        <cdr:cNvSpPr txBox="1">
          <a:spLocks xmlns:a="http://schemas.openxmlformats.org/drawingml/2006/main" noChangeArrowheads="1"/>
        </cdr:cNvSpPr>
      </cdr:nvSpPr>
      <cdr:spPr bwMode="auto">
        <a:xfrm xmlns:a="http://schemas.openxmlformats.org/drawingml/2006/main">
          <a:off x="3817825" y="2207157"/>
          <a:ext cx="686195"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0.25775</cdr:x>
      <cdr:y>0.67875</cdr:y>
    </cdr:from>
    <cdr:to>
      <cdr:x>0.33025</cdr:x>
      <cdr:y>0.7195</cdr:y>
    </cdr:to>
    <cdr:sp macro="" textlink="">
      <cdr:nvSpPr>
        <cdr:cNvPr id="12312" name="Text 64"/>
        <cdr:cNvSpPr txBox="1">
          <a:spLocks xmlns:a="http://schemas.openxmlformats.org/drawingml/2006/main" noChangeArrowheads="1"/>
        </cdr:cNvSpPr>
      </cdr:nvSpPr>
      <cdr:spPr bwMode="auto">
        <a:xfrm xmlns:a="http://schemas.openxmlformats.org/drawingml/2006/main">
          <a:off x="2374051" y="3814405"/>
          <a:ext cx="667774" cy="2290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Clay</a:t>
          </a:r>
        </a:p>
      </cdr:txBody>
    </cdr:sp>
  </cdr:relSizeAnchor>
  <cdr:relSizeAnchor xmlns:cdr="http://schemas.openxmlformats.org/drawingml/2006/chartDrawing">
    <cdr:from>
      <cdr:x>0.5675</cdr:x>
      <cdr:y>0.67875</cdr:y>
    </cdr:from>
    <cdr:to>
      <cdr:x>0.63875</cdr:x>
      <cdr:y>0.733</cdr:y>
    </cdr:to>
    <cdr:sp macro="" textlink="">
      <cdr:nvSpPr>
        <cdr:cNvPr id="12313" name="Text 65"/>
        <cdr:cNvSpPr txBox="1">
          <a:spLocks xmlns:a="http://schemas.openxmlformats.org/drawingml/2006/main" noChangeArrowheads="1"/>
        </cdr:cNvSpPr>
      </cdr:nvSpPr>
      <cdr:spPr bwMode="auto">
        <a:xfrm xmlns:a="http://schemas.openxmlformats.org/drawingml/2006/main">
          <a:off x="5227058" y="3814405"/>
          <a:ext cx="656261"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Silt</a:t>
          </a:r>
        </a:p>
      </cdr:txBody>
    </cdr:sp>
  </cdr:relSizeAnchor>
  <cdr:relSizeAnchor xmlns:cdr="http://schemas.openxmlformats.org/drawingml/2006/chartDrawing">
    <cdr:from>
      <cdr:x>0.394</cdr:x>
      <cdr:y>0.67875</cdr:y>
    </cdr:from>
    <cdr:to>
      <cdr:x>0.49225</cdr:x>
      <cdr:y>0.733</cdr:y>
    </cdr:to>
    <cdr:sp macro="" textlink="">
      <cdr:nvSpPr>
        <cdr:cNvPr id="12316" name="Text 68"/>
        <cdr:cNvSpPr txBox="1">
          <a:spLocks xmlns:a="http://schemas.openxmlformats.org/drawingml/2006/main" noChangeArrowheads="1"/>
        </cdr:cNvSpPr>
      </cdr:nvSpPr>
      <cdr:spPr bwMode="auto">
        <a:xfrm xmlns:a="http://schemas.openxmlformats.org/drawingml/2006/main">
          <a:off x="3629006" y="3814405"/>
          <a:ext cx="904949"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0.21475</cdr:x>
      <cdr:y>0.895</cdr:y>
    </cdr:from>
    <cdr:to>
      <cdr:x>0.27275</cdr:x>
      <cdr:y>0.929</cdr:y>
    </cdr:to>
    <cdr:sp macro="" textlink="">
      <cdr:nvSpPr>
        <cdr:cNvPr id="12317" name="Text 69"/>
        <cdr:cNvSpPr txBox="1">
          <a:spLocks xmlns:a="http://schemas.openxmlformats.org/drawingml/2006/main" noChangeArrowheads="1"/>
        </cdr:cNvSpPr>
      </cdr:nvSpPr>
      <cdr:spPr bwMode="auto">
        <a:xfrm xmlns:a="http://schemas.openxmlformats.org/drawingml/2006/main">
          <a:off x="1977992" y="5029676"/>
          <a:ext cx="534220"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Clay</a:t>
          </a:r>
        </a:p>
      </cdr:txBody>
    </cdr:sp>
  </cdr:relSizeAnchor>
  <cdr:relSizeAnchor xmlns:cdr="http://schemas.openxmlformats.org/drawingml/2006/chartDrawing">
    <cdr:from>
      <cdr:x>0.437</cdr:x>
      <cdr:y>0.89425</cdr:y>
    </cdr:from>
    <cdr:to>
      <cdr:x>0.496</cdr:x>
      <cdr:y>0.94175</cdr:y>
    </cdr:to>
    <cdr:sp macro="" textlink="">
      <cdr:nvSpPr>
        <cdr:cNvPr id="12318" name="Text 70"/>
        <cdr:cNvSpPr txBox="1">
          <a:spLocks xmlns:a="http://schemas.openxmlformats.org/drawingml/2006/main" noChangeArrowheads="1"/>
        </cdr:cNvSpPr>
      </cdr:nvSpPr>
      <cdr:spPr bwMode="auto">
        <a:xfrm xmlns:a="http://schemas.openxmlformats.org/drawingml/2006/main">
          <a:off x="4025065" y="5025461"/>
          <a:ext cx="543430" cy="26693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a:t>
          </a:r>
        </a:p>
      </cdr:txBody>
    </cdr:sp>
  </cdr:relSizeAnchor>
  <cdr:relSizeAnchor xmlns:cdr="http://schemas.openxmlformats.org/drawingml/2006/chartDrawing">
    <cdr:from>
      <cdr:x>0.63275</cdr:x>
      <cdr:y>0.895</cdr:y>
    </cdr:from>
    <cdr:to>
      <cdr:x>0.67925</cdr:x>
      <cdr:y>0.929</cdr:y>
    </cdr:to>
    <cdr:sp macro="" textlink="">
      <cdr:nvSpPr>
        <cdr:cNvPr id="12319" name="Text 71"/>
        <cdr:cNvSpPr txBox="1">
          <a:spLocks xmlns:a="http://schemas.openxmlformats.org/drawingml/2006/main" noChangeArrowheads="1"/>
        </cdr:cNvSpPr>
      </cdr:nvSpPr>
      <cdr:spPr bwMode="auto">
        <a:xfrm xmlns:a="http://schemas.openxmlformats.org/drawingml/2006/main">
          <a:off x="5828055" y="5029676"/>
          <a:ext cx="428296"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Silt</a:t>
          </a:r>
        </a:p>
      </cdr:txBody>
    </cdr:sp>
  </cdr:relSizeAnchor>
  <cdr:relSizeAnchor xmlns:cdr="http://schemas.openxmlformats.org/drawingml/2006/chartDrawing">
    <cdr:from>
      <cdr:x>0.50525</cdr:x>
      <cdr:y>0.39275</cdr:y>
    </cdr:from>
    <cdr:to>
      <cdr:x>0.56725</cdr:x>
      <cdr:y>0.447</cdr:y>
    </cdr:to>
    <cdr:sp macro="" textlink="">
      <cdr:nvSpPr>
        <cdr:cNvPr id="12323" name="Text 75"/>
        <cdr:cNvSpPr txBox="1">
          <a:spLocks xmlns:a="http://schemas.openxmlformats.org/drawingml/2006/main" noChangeArrowheads="1"/>
        </cdr:cNvSpPr>
      </cdr:nvSpPr>
      <cdr:spPr bwMode="auto">
        <a:xfrm xmlns:a="http://schemas.openxmlformats.org/drawingml/2006/main">
          <a:off x="4653694" y="2207157"/>
          <a:ext cx="571061" cy="3048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Silty Sand</a:t>
          </a:r>
        </a:p>
      </cdr:txBody>
    </cdr:sp>
  </cdr:relSizeAnchor>
  <cdr:relSizeAnchor xmlns:cdr="http://schemas.openxmlformats.org/drawingml/2006/chartDrawing">
    <cdr:from>
      <cdr:x>0.3385</cdr:x>
      <cdr:y>0.13475</cdr:y>
    </cdr:from>
    <cdr:to>
      <cdr:x>0.437</cdr:x>
      <cdr:y>0.955</cdr:y>
    </cdr:to>
    <cdr:sp macro="" textlink="">
      <cdr:nvSpPr>
        <cdr:cNvPr id="12382" name="Line 94"/>
        <cdr:cNvSpPr>
          <a:spLocks xmlns:a="http://schemas.openxmlformats.org/drawingml/2006/main" noChangeShapeType="1"/>
        </cdr:cNvSpPr>
      </cdr:nvSpPr>
      <cdr:spPr bwMode="auto">
        <a:xfrm xmlns:a="http://schemas.openxmlformats.org/drawingml/2006/main" flipV="1">
          <a:off x="3117813" y="757261"/>
          <a:ext cx="907252" cy="460960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cdr:x>
      <cdr:y>0</cdr:y>
    </cdr:from>
    <cdr:to>
      <cdr:x>0.37275</cdr:x>
      <cdr:y>0.20925</cdr:y>
    </cdr:to>
    <cdr:sp macro="" textlink="">
      <cdr:nvSpPr>
        <cdr:cNvPr id="12329" name="Rectangle 41"/>
        <cdr:cNvSpPr>
          <a:spLocks xmlns:a="http://schemas.openxmlformats.org/drawingml/2006/main" noChangeArrowheads="1"/>
        </cdr:cNvSpPr>
      </cdr:nvSpPr>
      <cdr:spPr bwMode="auto">
        <a:xfrm xmlns:a="http://schemas.openxmlformats.org/drawingml/2006/main">
          <a:off x="0" y="0"/>
          <a:ext cx="3433279" cy="11759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0.76725</cdr:x>
      <cdr:y>0</cdr:y>
    </cdr:from>
    <cdr:to>
      <cdr:x>1</cdr:x>
      <cdr:y>0.8015</cdr:y>
    </cdr:to>
    <cdr:sp macro="" textlink="">
      <cdr:nvSpPr>
        <cdr:cNvPr id="12328" name="Rectangle 40"/>
        <cdr:cNvSpPr>
          <a:spLocks xmlns:a="http://schemas.openxmlformats.org/drawingml/2006/main" noChangeArrowheads="1"/>
        </cdr:cNvSpPr>
      </cdr:nvSpPr>
      <cdr:spPr bwMode="auto">
        <a:xfrm xmlns:a="http://schemas.openxmlformats.org/drawingml/2006/main">
          <a:off x="7066890" y="0"/>
          <a:ext cx="2143785" cy="450423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0.545</cdr:x>
      <cdr:y>0.0045</cdr:y>
    </cdr:from>
    <cdr:to>
      <cdr:x>0.701</cdr:x>
      <cdr:y>0.1715</cdr:y>
    </cdr:to>
    <cdr:sp macro="" textlink="">
      <cdr:nvSpPr>
        <cdr:cNvPr id="12413" name="Text Box 125"/>
        <cdr:cNvSpPr txBox="1">
          <a:spLocks xmlns:a="http://schemas.openxmlformats.org/drawingml/2006/main" noChangeArrowheads="1"/>
        </cdr:cNvSpPr>
      </cdr:nvSpPr>
      <cdr:spPr bwMode="auto">
        <a:xfrm xmlns:a="http://schemas.openxmlformats.org/drawingml/2006/main">
          <a:off x="5019818" y="25289"/>
          <a:ext cx="1436865" cy="938498"/>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txBody>
        <a:bodyPr xmlns:a="http://schemas.openxmlformats.org/drawingml/2006/main" vertOverflow="clip" wrap="square" lIns="182880" tIns="91440" rIns="182880" bIns="91440" anchor="t" upright="1"/>
        <a:lstStyle xmlns:a="http://schemas.openxmlformats.org/drawingml/2006/main"/>
        <a:p xmlns:a="http://schemas.openxmlformats.org/drawingml/2006/main">
          <a:pPr algn="l" rtl="0">
            <a:defRPr sz="1000"/>
          </a:pPr>
          <a:r>
            <a:rPr lang="en-GB" sz="1200" b="1" i="0" u="none" strike="noStrike" baseline="0">
              <a:solidFill>
                <a:srgbClr val="000000"/>
              </a:solidFill>
              <a:latin typeface="Arial"/>
              <a:cs typeface="Arial"/>
            </a:rPr>
            <a:t>NOTE</a:t>
          </a:r>
        </a:p>
        <a:p xmlns:a="http://schemas.openxmlformats.org/drawingml/2006/main">
          <a:pPr algn="l" rtl="0">
            <a:defRPr sz="1000"/>
          </a:pPr>
          <a:r>
            <a:rPr lang="en-GB" sz="1000" b="1" i="0" u="none" strike="noStrike" baseline="0">
              <a:solidFill>
                <a:srgbClr val="000000"/>
              </a:solidFill>
              <a:latin typeface="Arial"/>
              <a:cs typeface="Arial"/>
            </a:rPr>
            <a:t>Gravel is also present in</a:t>
          </a:r>
        </a:p>
        <a:p xmlns:a="http://schemas.openxmlformats.org/drawingml/2006/main">
          <a:pPr algn="l" rtl="0">
            <a:defRPr sz="1000"/>
          </a:pPr>
          <a:r>
            <a:rPr lang="en-GB" sz="1000" b="1" i="0" u="none" strike="noStrike" baseline="0">
              <a:solidFill>
                <a:srgbClr val="000000"/>
              </a:solidFill>
              <a:latin typeface="Arial"/>
              <a:cs typeface="Arial"/>
            </a:rPr>
            <a:t>this sample</a:t>
          </a:r>
        </a:p>
      </cdr:txBody>
    </cdr:sp>
  </cdr:relSizeAnchor>
  <cdr:relSizeAnchor xmlns:cdr="http://schemas.openxmlformats.org/drawingml/2006/chartDrawing">
    <cdr:from>
      <cdr:x>0.61125</cdr:x>
      <cdr:y>0.529</cdr:y>
    </cdr:from>
    <cdr:to>
      <cdr:x>0.61825</cdr:x>
      <cdr:y>0.5405</cdr:y>
    </cdr:to>
    <cdr:sp macro="" textlink="">
      <cdr:nvSpPr>
        <cdr:cNvPr id="12710" name="Oval 422"/>
        <cdr:cNvSpPr>
          <a:spLocks xmlns:a="http://schemas.openxmlformats.org/drawingml/2006/main" noChangeArrowheads="1"/>
        </cdr:cNvSpPr>
      </cdr:nvSpPr>
      <cdr:spPr bwMode="auto">
        <a:xfrm xmlns:a="http://schemas.openxmlformats.org/drawingml/2006/main">
          <a:off x="5630025" y="2972848"/>
          <a:ext cx="64475" cy="64627"/>
        </a:xfrm>
        <a:prstGeom xmlns:a="http://schemas.openxmlformats.org/drawingml/2006/main" prst="ellipse">
          <a:avLst/>
        </a:prstGeom>
        <a:solidFill xmlns:a="http://schemas.openxmlformats.org/drawingml/2006/main">
          <a:srgbClr val="000000"/>
        </a:solidFill>
        <a:ln xmlns:a="http://schemas.openxmlformats.org/drawingml/2006/main" w="9525">
          <a:solidFill>
            <a:srgbClr val="000000"/>
          </a:solidFill>
          <a:round/>
          <a:headEnd/>
          <a:tailEnd/>
        </a:ln>
        <a:effectLst xmlns:a="http://schemas.openxmlformats.org/drawingml/2006/main"/>
      </cdr:spPr>
    </cdr:sp>
  </cdr:relSizeAnchor>
  <cdr:relSizeAnchor xmlns:cdr="http://schemas.openxmlformats.org/drawingml/2006/chartDrawing">
    <cdr:from>
      <cdr:x>0</cdr:x>
      <cdr:y>0</cdr:y>
    </cdr:from>
    <cdr:to>
      <cdr:x>0.357</cdr:x>
      <cdr:y>0.184</cdr:y>
    </cdr:to>
    <cdr:grpSp>
      <cdr:nvGrpSpPr>
        <cdr:cNvPr id="12411" name="Group 123">
          <a:extLst xmlns:a="http://schemas.openxmlformats.org/drawingml/2006/main">
            <a:ext uri="{FF2B5EF4-FFF2-40B4-BE49-F238E27FC236}">
              <a16:creationId xmlns:a16="http://schemas.microsoft.com/office/drawing/2014/main" id="{8906C73A-4411-49EF-9EF4-554E2A492206}"/>
            </a:ext>
          </a:extLst>
        </cdr:cNvPr>
        <cdr:cNvGrpSpPr>
          <a:grpSpLocks xmlns:a="http://schemas.openxmlformats.org/drawingml/2006/main"/>
        </cdr:cNvGrpSpPr>
      </cdr:nvGrpSpPr>
      <cdr:grpSpPr bwMode="auto">
        <a:xfrm xmlns:a="http://schemas.openxmlformats.org/drawingml/2006/main">
          <a:off x="0" y="0"/>
          <a:ext cx="3287078" cy="1032866"/>
          <a:chOff x="64475" y="25246"/>
          <a:chExt cx="3288211" cy="1039294"/>
        </a:xfrm>
      </cdr:grpSpPr>
      <cdr:sp macro="" textlink="">
        <cdr:nvSpPr>
          <cdr:cNvPr id="12332" name="Rectangle 44"/>
          <cdr:cNvSpPr>
            <a:spLocks xmlns:a="http://schemas.openxmlformats.org/drawingml/2006/main" noChangeArrowheads="1"/>
          </cdr:cNvSpPr>
        </cdr:nvSpPr>
        <cdr:spPr bwMode="auto">
          <a:xfrm xmlns:a="http://schemas.openxmlformats.org/drawingml/2006/main">
            <a:off x="64475" y="25246"/>
            <a:ext cx="3288211" cy="1039294"/>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sp>
      <cdr:sp macro="" textlink="'Single Sample Data Input'!$C$3">
        <cdr:nvSpPr>
          <cdr:cNvPr id="12333" name="Text 32"/>
          <cdr:cNvSpPr txBox="1">
            <a:spLocks xmlns:a="http://schemas.openxmlformats.org/drawingml/2006/main" noChangeArrowheads="1"/>
          </cdr:cNvSpPr>
        </cdr:nvSpPr>
        <cdr:spPr bwMode="auto">
          <a:xfrm xmlns:a="http://schemas.openxmlformats.org/drawingml/2006/main">
            <a:off x="1390812" y="145866"/>
            <a:ext cx="1899702" cy="18934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ECC04DC-3B35-4756-B150-2BDA05F98028}" type="TxLink">
              <a:rPr lang="en-GB"/>
              <a:pPr/>
              <a:t> </a:t>
            </a:fld>
            <a:endParaRPr lang="en-GB"/>
          </a:p>
        </cdr:txBody>
      </cdr:sp>
      <cdr:sp macro="" textlink="">
        <cdr:nvSpPr>
          <cdr:cNvPr id="12334" name="Text 80"/>
          <cdr:cNvSpPr txBox="1">
            <a:spLocks xmlns:a="http://schemas.openxmlformats.org/drawingml/2006/main" noChangeArrowheads="1"/>
          </cdr:cNvSpPr>
        </cdr:nvSpPr>
        <cdr:spPr bwMode="auto">
          <a:xfrm xmlns:a="http://schemas.openxmlformats.org/drawingml/2006/main">
            <a:off x="64475" y="382898"/>
            <a:ext cx="1291797" cy="50351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TEXTURAL GROUP:</a:t>
            </a:r>
          </a:p>
          <a:p xmlns:a="http://schemas.openxmlformats.org/drawingml/2006/main">
            <a:pPr algn="r" rtl="0">
              <a:defRPr sz="1000"/>
            </a:pPr>
            <a:r>
              <a:rPr lang="en-GB" sz="1000" b="0" i="0" u="none" strike="noStrike" baseline="0">
                <a:solidFill>
                  <a:srgbClr val="000000"/>
                </a:solidFill>
                <a:latin typeface="Arial"/>
                <a:cs typeface="Arial"/>
              </a:rPr>
              <a:t>IGNORING GRAVEL</a:t>
            </a:r>
          </a:p>
          <a:p xmlns:a="http://schemas.openxmlformats.org/drawingml/2006/main">
            <a:pPr algn="r" rtl="0">
              <a:defRPr sz="1000"/>
            </a:pPr>
            <a:r>
              <a:rPr lang="en-GB" sz="1000" b="0" i="0" u="none" strike="noStrike" baseline="0">
                <a:solidFill>
                  <a:srgbClr val="000000"/>
                </a:solidFill>
                <a:latin typeface="Arial"/>
                <a:cs typeface="Arial"/>
              </a:rPr>
              <a:t>FRACTION   </a:t>
            </a:r>
          </a:p>
        </cdr:txBody>
      </cdr:sp>
      <cdr:sp macro="" textlink="Calculations!$D$9">
        <cdr:nvSpPr>
          <cdr:cNvPr id="12336" name="Text 84"/>
          <cdr:cNvSpPr txBox="1">
            <a:spLocks xmlns:a="http://schemas.openxmlformats.org/drawingml/2006/main" noChangeArrowheads="1" noTextEdit="1"/>
          </cdr:cNvSpPr>
        </cdr:nvSpPr>
        <cdr:spPr bwMode="auto">
          <a:xfrm xmlns:a="http://schemas.openxmlformats.org/drawingml/2006/main">
            <a:off x="1381601" y="378690"/>
            <a:ext cx="1773055" cy="22160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FE9F55F-06E7-4F6F-A2FE-D1EBEF656ADE}" type="TxLink">
              <a:rPr lang="en-GB"/>
              <a:pPr/>
              <a:t> </a:t>
            </a:fld>
            <a:endParaRPr lang="en-GB"/>
          </a:p>
        </cdr:txBody>
      </cdr:sp>
      <cdr:sp macro="" textlink="">
        <cdr:nvSpPr>
          <cdr:cNvPr id="12338" name="Text 103"/>
          <cdr:cNvSpPr txBox="1">
            <a:spLocks xmlns:a="http://schemas.openxmlformats.org/drawingml/2006/main" noChangeArrowheads="1"/>
          </cdr:cNvSpPr>
        </cdr:nvSpPr>
        <cdr:spPr bwMode="auto">
          <a:xfrm xmlns:a="http://schemas.openxmlformats.org/drawingml/2006/main">
            <a:off x="64475" y="145866"/>
            <a:ext cx="1298705" cy="227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SAMPLE IDENTITY:</a:t>
            </a:r>
          </a:p>
        </cdr:txBody>
      </cdr:sp>
    </cdr:grpSp>
  </cdr:relSizeAnchor>
  <cdr:relSizeAnchor xmlns:cdr="http://schemas.openxmlformats.org/drawingml/2006/chartDrawing">
    <cdr:from>
      <cdr:x>0.78175</cdr:x>
      <cdr:y>0</cdr:y>
    </cdr:from>
    <cdr:to>
      <cdr:x>0.999</cdr:x>
      <cdr:y>0.7715</cdr:y>
    </cdr:to>
    <cdr:grpSp>
      <cdr:nvGrpSpPr>
        <cdr:cNvPr id="12686" name="Group 398">
          <a:extLst xmlns:a="http://schemas.openxmlformats.org/drawingml/2006/main">
            <a:ext uri="{FF2B5EF4-FFF2-40B4-BE49-F238E27FC236}">
              <a16:creationId xmlns:a16="http://schemas.microsoft.com/office/drawing/2014/main" id="{FA515C4B-437A-4094-97EF-1CC674DBC13D}"/>
            </a:ext>
          </a:extLst>
        </cdr:cNvPr>
        <cdr:cNvGrpSpPr>
          <a:grpSpLocks xmlns:a="http://schemas.openxmlformats.org/drawingml/2006/main"/>
        </cdr:cNvGrpSpPr>
      </cdr:nvGrpSpPr>
      <cdr:grpSpPr bwMode="auto">
        <a:xfrm xmlns:a="http://schemas.openxmlformats.org/drawingml/2006/main">
          <a:off x="7197963" y="0"/>
          <a:ext cx="2000329" cy="4330738"/>
          <a:chOff x="7168208" y="12623"/>
          <a:chExt cx="2010230" cy="4322678"/>
        </a:xfrm>
      </cdr:grpSpPr>
      <cdr:sp macro="" textlink="">
        <cdr:nvSpPr>
          <cdr:cNvPr id="12341" name="Rectangle 53"/>
          <cdr:cNvSpPr>
            <a:spLocks xmlns:a="http://schemas.openxmlformats.org/drawingml/2006/main" noChangeArrowheads="1"/>
          </cdr:cNvSpPr>
        </cdr:nvSpPr>
        <cdr:spPr bwMode="auto">
          <a:xfrm xmlns:a="http://schemas.openxmlformats.org/drawingml/2006/main">
            <a:off x="7465252" y="12623"/>
            <a:ext cx="1388509" cy="722316"/>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12342" name="Text 33"/>
          <cdr:cNvSpPr txBox="1">
            <a:spLocks xmlns:a="http://schemas.openxmlformats.org/drawingml/2006/main" noChangeArrowheads="1"/>
          </cdr:cNvSpPr>
        </cdr:nvSpPr>
        <cdr:spPr bwMode="auto">
          <a:xfrm xmlns:a="http://schemas.openxmlformats.org/drawingml/2006/main">
            <a:off x="7490581" y="84153"/>
            <a:ext cx="681590" cy="18093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Gravel:</a:t>
            </a:r>
          </a:p>
        </cdr:txBody>
      </cdr:sp>
      <cdr:sp macro="" textlink="">
        <cdr:nvSpPr>
          <cdr:cNvPr id="12343" name="Text 34"/>
          <cdr:cNvSpPr txBox="1">
            <a:spLocks xmlns:a="http://schemas.openxmlformats.org/drawingml/2006/main" noChangeArrowheads="1"/>
          </cdr:cNvSpPr>
        </cdr:nvSpPr>
        <cdr:spPr bwMode="auto">
          <a:xfrm xmlns:a="http://schemas.openxmlformats.org/drawingml/2006/main">
            <a:off x="7608018" y="286121"/>
            <a:ext cx="564153" cy="17251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Sand:</a:t>
            </a:r>
          </a:p>
        </cdr:txBody>
      </cdr:sp>
      <cdr:sp macro="" textlink="">
        <cdr:nvSpPr>
          <cdr:cNvPr id="12344" name="Text 35"/>
          <cdr:cNvSpPr txBox="1">
            <a:spLocks xmlns:a="http://schemas.openxmlformats.org/drawingml/2006/main" noChangeArrowheads="1"/>
          </cdr:cNvSpPr>
        </cdr:nvSpPr>
        <cdr:spPr bwMode="auto">
          <a:xfrm xmlns:a="http://schemas.openxmlformats.org/drawingml/2006/main">
            <a:off x="7561964" y="481077"/>
            <a:ext cx="61020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Mud:</a:t>
            </a:r>
          </a:p>
        </cdr:txBody>
      </cdr:sp>
      <cdr:sp macro="" textlink="'Single Sample Statistics'!$J$8">
        <cdr:nvSpPr>
          <cdr:cNvPr id="12345" name="Text 36"/>
          <cdr:cNvSpPr txBox="1">
            <a:spLocks xmlns:a="http://schemas.openxmlformats.org/drawingml/2006/main" noChangeArrowheads="1"/>
          </cdr:cNvSpPr>
        </cdr:nvSpPr>
        <cdr:spPr bwMode="auto">
          <a:xfrm xmlns:a="http://schemas.openxmlformats.org/drawingml/2006/main">
            <a:off x="8215922" y="84153"/>
            <a:ext cx="501982" cy="18093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A4B4DE4D-01BB-46F2-962A-2904701B9178}" type="TxLink">
              <a:rPr lang="en-GB"/>
              <a:pPr/>
              <a:t> </a:t>
            </a:fld>
            <a:endParaRPr lang="en-GB"/>
          </a:p>
        </cdr:txBody>
      </cdr:sp>
      <cdr:sp macro="" textlink="'Single Sample Statistics'!$J$9">
        <cdr:nvSpPr>
          <cdr:cNvPr id="12346" name="Text 37"/>
          <cdr:cNvSpPr txBox="1">
            <a:spLocks xmlns:a="http://schemas.openxmlformats.org/drawingml/2006/main" noChangeArrowheads="1"/>
          </cdr:cNvSpPr>
        </cdr:nvSpPr>
        <cdr:spPr bwMode="auto">
          <a:xfrm xmlns:a="http://schemas.openxmlformats.org/drawingml/2006/main">
            <a:off x="8215922" y="286121"/>
            <a:ext cx="501982" cy="17251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84A8296-B266-4299-AAA0-DB4D7602C13C}" type="TxLink">
              <a:rPr lang="en-GB"/>
              <a:pPr/>
              <a:t> </a:t>
            </a:fld>
            <a:endParaRPr lang="en-GB"/>
          </a:p>
        </cdr:txBody>
      </cdr:sp>
      <cdr:sp macro="" textlink="'Single Sample Statistics'!$J$10">
        <cdr:nvSpPr>
          <cdr:cNvPr id="12347" name="Text 38"/>
          <cdr:cNvSpPr txBox="1">
            <a:spLocks xmlns:a="http://schemas.openxmlformats.org/drawingml/2006/main" noChangeArrowheads="1"/>
          </cdr:cNvSpPr>
        </cdr:nvSpPr>
        <cdr:spPr bwMode="auto">
          <a:xfrm xmlns:a="http://schemas.openxmlformats.org/drawingml/2006/main">
            <a:off x="8215922" y="486687"/>
            <a:ext cx="42138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4F621739-1D1A-43B7-A922-6C7921B8AFBA}" type="TxLink">
              <a:rPr lang="en-GB"/>
              <a:pPr/>
              <a:t> </a:t>
            </a:fld>
            <a:endParaRPr lang="en-GB"/>
          </a:p>
        </cdr:txBody>
      </cdr:sp>
      <cdr:sp macro="" textlink="">
        <cdr:nvSpPr>
          <cdr:cNvPr id="12349" name="Rectangle 61"/>
          <cdr:cNvSpPr>
            <a:spLocks xmlns:a="http://schemas.openxmlformats.org/drawingml/2006/main" noChangeArrowheads="1"/>
          </cdr:cNvSpPr>
        </cdr:nvSpPr>
        <cdr:spPr bwMode="auto">
          <a:xfrm xmlns:a="http://schemas.openxmlformats.org/drawingml/2006/main">
            <a:off x="7195840" y="837326"/>
            <a:ext cx="1982598" cy="3497975"/>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grpSp>
        <cdr:nvGrpSpPr>
          <cdr:cNvPr id="12685" name="Group 397">
            <a:extLst xmlns:a="http://schemas.openxmlformats.org/drawingml/2006/main">
              <a:ext uri="{FF2B5EF4-FFF2-40B4-BE49-F238E27FC236}">
                <a16:creationId xmlns:a16="http://schemas.microsoft.com/office/drawing/2014/main" id="{868DD9B6-7619-44C2-B21D-8F19480A0916}"/>
              </a:ext>
            </a:extLst>
          </cdr:cNvPr>
          <cdr:cNvGrpSpPr>
            <a:grpSpLocks xmlns:a="http://schemas.openxmlformats.org/drawingml/2006/main"/>
          </cdr:cNvGrpSpPr>
        </cdr:nvGrpSpPr>
        <cdr:grpSpPr bwMode="auto">
          <a:xfrm xmlns:a="http://schemas.openxmlformats.org/drawingml/2006/main">
            <a:off x="7168208" y="941115"/>
            <a:ext cx="1370088" cy="3346499"/>
            <a:chOff x="7175116" y="937093"/>
            <a:chExt cx="1372390" cy="3360611"/>
          </a:xfrm>
        </cdr:grpSpPr>
        <cdr:sp macro="" textlink="">
          <cdr:nvSpPr>
            <cdr:cNvPr id="12350" name="Text 40"/>
            <cdr:cNvSpPr txBox="1">
              <a:spLocks xmlns:a="http://schemas.openxmlformats.org/drawingml/2006/main" noChangeArrowheads="1"/>
            </cdr:cNvSpPr>
          </cdr:nvSpPr>
          <cdr:spPr bwMode="auto">
            <a:xfrm xmlns:a="http://schemas.openxmlformats.org/drawingml/2006/main">
              <a:off x="7416896" y="1149239"/>
              <a:ext cx="1130610"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Gravel:</a:t>
              </a:r>
            </a:p>
          </cdr:txBody>
        </cdr:sp>
        <cdr:sp macro="" textlink="">
          <cdr:nvSpPr>
            <cdr:cNvPr id="12351" name="Text 41"/>
            <cdr:cNvSpPr txBox="1">
              <a:spLocks xmlns:a="http://schemas.openxmlformats.org/drawingml/2006/main" noChangeArrowheads="1"/>
            </cdr:cNvSpPr>
          </cdr:nvSpPr>
          <cdr:spPr bwMode="auto">
            <a:xfrm xmlns:a="http://schemas.openxmlformats.org/drawingml/2006/main">
              <a:off x="7407685" y="1359980"/>
              <a:ext cx="1139821"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Gravel:</a:t>
              </a:r>
            </a:p>
          </cdr:txBody>
        </cdr:sp>
        <cdr:sp macro="" textlink="">
          <cdr:nvSpPr>
            <cdr:cNvPr id="12352" name="Text 42"/>
            <cdr:cNvSpPr txBox="1">
              <a:spLocks xmlns:a="http://schemas.openxmlformats.org/drawingml/2006/main" noChangeArrowheads="1"/>
            </cdr:cNvSpPr>
          </cdr:nvSpPr>
          <cdr:spPr bwMode="auto">
            <a:xfrm xmlns:a="http://schemas.openxmlformats.org/drawingml/2006/main">
              <a:off x="7175116" y="1572125"/>
              <a:ext cx="1372390"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Gravel:</a:t>
              </a:r>
            </a:p>
          </cdr:txBody>
        </cdr:sp>
        <cdr:sp macro="" textlink="">
          <cdr:nvSpPr>
            <cdr:cNvPr id="12353" name="Text 43"/>
            <cdr:cNvSpPr txBox="1">
              <a:spLocks xmlns:a="http://schemas.openxmlformats.org/drawingml/2006/main" noChangeArrowheads="1"/>
            </cdr:cNvSpPr>
          </cdr:nvSpPr>
          <cdr:spPr bwMode="auto">
            <a:xfrm xmlns:a="http://schemas.openxmlformats.org/drawingml/2006/main">
              <a:off x="7453739" y="2212777"/>
              <a:ext cx="1093767" cy="18404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Sand:</a:t>
              </a:r>
            </a:p>
          </cdr:txBody>
        </cdr:sp>
        <cdr:sp macro="" textlink="">
          <cdr:nvSpPr>
            <cdr:cNvPr id="12354" name="Text 44"/>
            <cdr:cNvSpPr txBox="1">
              <a:spLocks xmlns:a="http://schemas.openxmlformats.org/drawingml/2006/main" noChangeArrowheads="1"/>
            </cdr:cNvSpPr>
          </cdr:nvSpPr>
          <cdr:spPr bwMode="auto">
            <a:xfrm xmlns:a="http://schemas.openxmlformats.org/drawingml/2006/main">
              <a:off x="7614926" y="2430542"/>
              <a:ext cx="932580" cy="172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Medium Sand:</a:t>
              </a:r>
            </a:p>
          </cdr:txBody>
        </cdr:sp>
        <cdr:sp macro="" textlink="">
          <cdr:nvSpPr>
            <cdr:cNvPr id="12355" name="Text 45"/>
            <cdr:cNvSpPr txBox="1">
              <a:spLocks xmlns:a="http://schemas.openxmlformats.org/drawingml/2006/main" noChangeArrowheads="1"/>
            </cdr:cNvSpPr>
          </cdr:nvSpPr>
          <cdr:spPr bwMode="auto">
            <a:xfrm xmlns:a="http://schemas.openxmlformats.org/drawingml/2006/main">
              <a:off x="7631044" y="2635663"/>
              <a:ext cx="916462"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Sand:</a:t>
              </a:r>
            </a:p>
          </cdr:txBody>
        </cdr:sp>
        <cdr:sp macro="" textlink="">
          <cdr:nvSpPr>
            <cdr:cNvPr id="12356" name="Text 46"/>
            <cdr:cNvSpPr txBox="1">
              <a:spLocks xmlns:a="http://schemas.openxmlformats.org/drawingml/2006/main" noChangeArrowheads="1"/>
            </cdr:cNvSpPr>
          </cdr:nvSpPr>
          <cdr:spPr bwMode="auto">
            <a:xfrm xmlns:a="http://schemas.openxmlformats.org/drawingml/2006/main">
              <a:off x="7525121" y="2847808"/>
              <a:ext cx="102238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Very Fine Sand:</a:t>
              </a:r>
            </a:p>
          </cdr:txBody>
        </cdr:sp>
        <cdr:sp macro="" textlink="">
          <cdr:nvSpPr>
            <cdr:cNvPr id="12357" name="Text 47"/>
            <cdr:cNvSpPr txBox="1">
              <a:spLocks xmlns:a="http://schemas.openxmlformats.org/drawingml/2006/main" noChangeArrowheads="1"/>
            </cdr:cNvSpPr>
          </cdr:nvSpPr>
          <cdr:spPr bwMode="auto">
            <a:xfrm xmlns:a="http://schemas.openxmlformats.org/drawingml/2006/main">
              <a:off x="7354724" y="3059954"/>
              <a:ext cx="1192782"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Silt:</a:t>
              </a:r>
            </a:p>
          </cdr:txBody>
        </cdr:sp>
        <cdr:sp macro="" textlink="">
          <cdr:nvSpPr>
            <cdr:cNvPr id="12366" name="Text 40"/>
            <cdr:cNvSpPr txBox="1">
              <a:spLocks xmlns:a="http://schemas.openxmlformats.org/drawingml/2006/main" noChangeArrowheads="1"/>
            </cdr:cNvSpPr>
          </cdr:nvSpPr>
          <cdr:spPr bwMode="auto">
            <a:xfrm xmlns:a="http://schemas.openxmlformats.org/drawingml/2006/main">
              <a:off x="7308671" y="937093"/>
              <a:ext cx="1238835"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Gravel:</a:t>
              </a:r>
            </a:p>
          </cdr:txBody>
        </cdr:sp>
        <cdr:sp macro="" textlink="">
          <cdr:nvSpPr>
            <cdr:cNvPr id="12368" name="Text 43"/>
            <cdr:cNvSpPr txBox="1">
              <a:spLocks xmlns:a="http://schemas.openxmlformats.org/drawingml/2006/main" noChangeArrowheads="1"/>
            </cdr:cNvSpPr>
          </cdr:nvSpPr>
          <cdr:spPr bwMode="auto">
            <a:xfrm xmlns:a="http://schemas.openxmlformats.org/drawingml/2006/main">
              <a:off x="7237288" y="1995011"/>
              <a:ext cx="1310218" cy="18545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Sand:</a:t>
              </a:r>
            </a:p>
          </cdr:txBody>
        </cdr:sp>
        <cdr:sp macro="" textlink="">
          <cdr:nvSpPr>
            <cdr:cNvPr id="12369" name="Text 43"/>
            <cdr:cNvSpPr txBox="1">
              <a:spLocks xmlns:a="http://schemas.openxmlformats.org/drawingml/2006/main" noChangeArrowheads="1"/>
            </cdr:cNvSpPr>
          </cdr:nvSpPr>
          <cdr:spPr bwMode="auto">
            <a:xfrm xmlns:a="http://schemas.openxmlformats.org/drawingml/2006/main">
              <a:off x="7550451" y="3270695"/>
              <a:ext cx="99705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Silt:</a:t>
              </a:r>
            </a:p>
          </cdr:txBody>
        </cdr:sp>
        <cdr:sp macro="" textlink="">
          <cdr:nvSpPr>
            <cdr:cNvPr id="12370" name="Text 43"/>
            <cdr:cNvSpPr txBox="1">
              <a:spLocks xmlns:a="http://schemas.openxmlformats.org/drawingml/2006/main" noChangeArrowheads="1"/>
            </cdr:cNvSpPr>
          </cdr:nvSpPr>
          <cdr:spPr bwMode="auto">
            <a:xfrm xmlns:a="http://schemas.openxmlformats.org/drawingml/2006/main">
              <a:off x="7550451" y="4117872"/>
              <a:ext cx="99705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Clay:</a:t>
              </a:r>
            </a:p>
          </cdr:txBody>
        </cdr:sp>
        <cdr:sp macro="" textlink="">
          <cdr:nvSpPr>
            <cdr:cNvPr id="12371" name="Text 43"/>
            <cdr:cNvSpPr txBox="1">
              <a:spLocks xmlns:a="http://schemas.openxmlformats.org/drawingml/2006/main" noChangeArrowheads="1"/>
            </cdr:cNvSpPr>
          </cdr:nvSpPr>
          <cdr:spPr bwMode="auto">
            <a:xfrm xmlns:a="http://schemas.openxmlformats.org/drawingml/2006/main">
              <a:off x="7550451" y="3694986"/>
              <a:ext cx="997055"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Fine Silt:</a:t>
              </a:r>
            </a:p>
          </cdr:txBody>
        </cdr:sp>
        <cdr:sp macro="" textlink="">
          <cdr:nvSpPr>
            <cdr:cNvPr id="12372" name="Text 43"/>
            <cdr:cNvSpPr txBox="1">
              <a:spLocks xmlns:a="http://schemas.openxmlformats.org/drawingml/2006/main" noChangeArrowheads="1"/>
            </cdr:cNvSpPr>
          </cdr:nvSpPr>
          <cdr:spPr bwMode="auto">
            <a:xfrm xmlns:a="http://schemas.openxmlformats.org/drawingml/2006/main">
              <a:off x="7380053" y="1784271"/>
              <a:ext cx="1167453"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Gravel:</a:t>
              </a:r>
            </a:p>
          </cdr:txBody>
        </cdr:sp>
        <cdr:sp macro="" textlink="">
          <cdr:nvSpPr>
            <cdr:cNvPr id="12375" name="Text 43"/>
            <cdr:cNvSpPr txBox="1">
              <a:spLocks xmlns:a="http://schemas.openxmlformats.org/drawingml/2006/main" noChangeArrowheads="1"/>
            </cdr:cNvSpPr>
          </cdr:nvSpPr>
          <cdr:spPr bwMode="auto">
            <a:xfrm xmlns:a="http://schemas.openxmlformats.org/drawingml/2006/main">
              <a:off x="7559662" y="3482840"/>
              <a:ext cx="987844"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Silt:</a:t>
              </a:r>
            </a:p>
          </cdr:txBody>
        </cdr:sp>
        <cdr:sp macro="" textlink="">
          <cdr:nvSpPr>
            <cdr:cNvPr id="12376" name="Text 43"/>
            <cdr:cNvSpPr txBox="1">
              <a:spLocks xmlns:a="http://schemas.openxmlformats.org/drawingml/2006/main" noChangeArrowheads="1"/>
            </cdr:cNvSpPr>
          </cdr:nvSpPr>
          <cdr:spPr bwMode="auto">
            <a:xfrm xmlns:a="http://schemas.openxmlformats.org/drawingml/2006/main">
              <a:off x="7559662" y="3907131"/>
              <a:ext cx="987844"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Silt:</a:t>
              </a:r>
            </a:p>
          </cdr:txBody>
        </cdr:sp>
      </cdr:grpSp>
      <cdr:sp macro="" textlink="'Single Sample Statistics'!$J$13">
        <cdr:nvSpPr>
          <cdr:cNvPr id="12358" name="Text 48"/>
          <cdr:cNvSpPr txBox="1">
            <a:spLocks xmlns:a="http://schemas.openxmlformats.org/drawingml/2006/main" noChangeArrowheads="1" noTextEdit="1"/>
          </cdr:cNvSpPr>
        </cdr:nvSpPr>
        <cdr:spPr bwMode="auto">
          <a:xfrm xmlns:a="http://schemas.openxmlformats.org/drawingml/2006/main">
            <a:off x="8575138" y="1151499"/>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46198FF-EA83-48FE-83B5-012FAEA3E4AB}" type="TxLink">
              <a:rPr lang="en-GB"/>
              <a:pPr/>
              <a:t> </a:t>
            </a:fld>
            <a:endParaRPr lang="en-GB"/>
          </a:p>
        </cdr:txBody>
      </cdr:sp>
      <cdr:sp macro="" textlink="'Single Sample Statistics'!$J$14">
        <cdr:nvSpPr>
          <cdr:cNvPr id="12359" name="Text 49"/>
          <cdr:cNvSpPr txBox="1">
            <a:spLocks xmlns:a="http://schemas.openxmlformats.org/drawingml/2006/main" noChangeArrowheads="1" noTextEdit="1"/>
          </cdr:cNvSpPr>
        </cdr:nvSpPr>
        <cdr:spPr bwMode="auto">
          <a:xfrm xmlns:a="http://schemas.openxmlformats.org/drawingml/2006/main">
            <a:off x="8575138" y="1356272"/>
            <a:ext cx="529614"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65B04A3-CC20-4629-9B60-8F48080645BF}" type="TxLink">
              <a:rPr lang="en-GB"/>
              <a:pPr/>
              <a:t> </a:t>
            </a:fld>
            <a:endParaRPr lang="en-GB"/>
          </a:p>
        </cdr:txBody>
      </cdr:sp>
      <cdr:sp macro="" textlink="'Single Sample Statistics'!$J$15">
        <cdr:nvSpPr>
          <cdr:cNvPr id="12360" name="Text 50"/>
          <cdr:cNvSpPr txBox="1">
            <a:spLocks xmlns:a="http://schemas.openxmlformats.org/drawingml/2006/main" noChangeArrowheads="1" noTextEdit="1"/>
          </cdr:cNvSpPr>
        </cdr:nvSpPr>
        <cdr:spPr bwMode="auto">
          <a:xfrm xmlns:a="http://schemas.openxmlformats.org/drawingml/2006/main">
            <a:off x="8575138" y="1573668"/>
            <a:ext cx="511193"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FC8E97B3-8BCD-4838-B141-CD9E1C226221}" type="TxLink">
              <a:rPr lang="en-GB"/>
              <a:pPr/>
              <a:t> </a:t>
            </a:fld>
            <a:endParaRPr lang="en-GB"/>
          </a:p>
        </cdr:txBody>
      </cdr:sp>
      <cdr:sp macro="" textlink="'Single Sample Statistics'!$O$8">
        <cdr:nvSpPr>
          <cdr:cNvPr id="12361" name="Text 51"/>
          <cdr:cNvSpPr txBox="1">
            <a:spLocks xmlns:a="http://schemas.openxmlformats.org/drawingml/2006/main" noChangeArrowheads="1" noTextEdit="1"/>
          </cdr:cNvSpPr>
        </cdr:nvSpPr>
        <cdr:spPr bwMode="auto">
          <a:xfrm xmlns:a="http://schemas.openxmlformats.org/drawingml/2006/main">
            <a:off x="8575138" y="2216039"/>
            <a:ext cx="49507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2B7E1D0B-46C6-419B-8282-9B7BC48E3EB9}" type="TxLink">
              <a:rPr lang="en-GB"/>
              <a:pPr/>
              <a:t> </a:t>
            </a:fld>
            <a:endParaRPr lang="en-GB"/>
          </a:p>
        </cdr:txBody>
      </cdr:sp>
      <cdr:sp macro="" textlink="'Single Sample Statistics'!$O$10">
        <cdr:nvSpPr>
          <cdr:cNvPr id="12362" name="Text 53"/>
          <cdr:cNvSpPr txBox="1">
            <a:spLocks xmlns:a="http://schemas.openxmlformats.org/drawingml/2006/main" noChangeArrowheads="1" noTextEdit="1"/>
          </cdr:cNvSpPr>
        </cdr:nvSpPr>
        <cdr:spPr bwMode="auto">
          <a:xfrm xmlns:a="http://schemas.openxmlformats.org/drawingml/2006/main">
            <a:off x="8575138" y="2643819"/>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293FD43-3AFD-453B-95B6-BFDF9B714609}" type="TxLink">
              <a:rPr lang="en-GB"/>
              <a:pPr/>
              <a:t> </a:t>
            </a:fld>
            <a:endParaRPr lang="en-GB"/>
          </a:p>
        </cdr:txBody>
      </cdr:sp>
      <cdr:sp macro="" textlink="'Single Sample Statistics'!$O$11">
        <cdr:nvSpPr>
          <cdr:cNvPr id="12363" name="Text 54"/>
          <cdr:cNvSpPr txBox="1">
            <a:spLocks xmlns:a="http://schemas.openxmlformats.org/drawingml/2006/main" noChangeArrowheads="1" noTextEdit="1"/>
          </cdr:cNvSpPr>
        </cdr:nvSpPr>
        <cdr:spPr bwMode="auto">
          <a:xfrm xmlns:a="http://schemas.openxmlformats.org/drawingml/2006/main">
            <a:off x="8575138" y="2848592"/>
            <a:ext cx="474350"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E79B659-94C2-4B2B-BBB2-8A2ECC53D752}" type="TxLink">
              <a:rPr lang="en-GB"/>
              <a:pPr/>
              <a:t> </a:t>
            </a:fld>
            <a:endParaRPr lang="en-GB"/>
          </a:p>
        </cdr:txBody>
      </cdr:sp>
      <cdr:sp macro="" textlink="'Single Sample Statistics'!$O$12">
        <cdr:nvSpPr>
          <cdr:cNvPr id="12364" name="Text 55"/>
          <cdr:cNvSpPr txBox="1">
            <a:spLocks xmlns:a="http://schemas.openxmlformats.org/drawingml/2006/main" noChangeArrowheads="1" noTextEdit="1"/>
          </cdr:cNvSpPr>
        </cdr:nvSpPr>
        <cdr:spPr bwMode="auto">
          <a:xfrm xmlns:a="http://schemas.openxmlformats.org/drawingml/2006/main">
            <a:off x="8575138" y="3060378"/>
            <a:ext cx="4651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9FF7193-F549-4FB5-A8D1-77B1A968BDA5}" type="TxLink">
              <a:rPr lang="en-GB"/>
              <a:pPr/>
              <a:t> </a:t>
            </a:fld>
            <a:endParaRPr lang="en-GB"/>
          </a:p>
        </cdr:txBody>
      </cdr:sp>
      <cdr:sp macro="" textlink="'Single Sample Statistics'!$O$9">
        <cdr:nvSpPr>
          <cdr:cNvPr id="12365" name="Text 58"/>
          <cdr:cNvSpPr txBox="1">
            <a:spLocks xmlns:a="http://schemas.openxmlformats.org/drawingml/2006/main" noChangeArrowheads="1" noTextEdit="1"/>
          </cdr:cNvSpPr>
        </cdr:nvSpPr>
        <cdr:spPr bwMode="auto">
          <a:xfrm xmlns:a="http://schemas.openxmlformats.org/drawingml/2006/main">
            <a:off x="8575138" y="2433435"/>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4B74A0A-EAD4-488F-987F-AB8FFE02D1ED}" type="TxLink">
              <a:rPr lang="en-GB"/>
              <a:pPr/>
              <a:t> </a:t>
            </a:fld>
            <a:endParaRPr lang="en-GB"/>
          </a:p>
        </cdr:txBody>
      </cdr:sp>
      <cdr:sp macro="" textlink="'Single Sample Statistics'!$J$12">
        <cdr:nvSpPr>
          <cdr:cNvPr id="12367" name="Text 48"/>
          <cdr:cNvSpPr txBox="1">
            <a:spLocks xmlns:a="http://schemas.openxmlformats.org/drawingml/2006/main" noChangeArrowheads="1" noTextEdit="1"/>
          </cdr:cNvSpPr>
        </cdr:nvSpPr>
        <cdr:spPr bwMode="auto">
          <a:xfrm xmlns:a="http://schemas.openxmlformats.org/drawingml/2006/main">
            <a:off x="8575138" y="941115"/>
            <a:ext cx="4651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DBC42FC-054D-4159-9A89-0900A61419F7}" type="TxLink">
              <a:rPr lang="en-GB"/>
              <a:pPr/>
              <a:t> </a:t>
            </a:fld>
            <a:endParaRPr lang="en-GB"/>
          </a:p>
        </cdr:txBody>
      </cdr:sp>
      <cdr:sp macro="" textlink="'Single Sample Statistics'!$J$17">
        <cdr:nvSpPr>
          <cdr:cNvPr id="12373" name="Text 50"/>
          <cdr:cNvSpPr txBox="1">
            <a:spLocks xmlns:a="http://schemas.openxmlformats.org/drawingml/2006/main" noChangeArrowheads="1" noTextEdit="1"/>
          </cdr:cNvSpPr>
        </cdr:nvSpPr>
        <cdr:spPr bwMode="auto">
          <a:xfrm xmlns:a="http://schemas.openxmlformats.org/drawingml/2006/main">
            <a:off x="8575138" y="1994435"/>
            <a:ext cx="518101"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66063CF-3A61-48CE-A4F8-566E12C970AC}" type="TxLink">
              <a:rPr lang="en-GB"/>
              <a:pPr/>
              <a:t> </a:t>
            </a:fld>
            <a:endParaRPr lang="en-GB"/>
          </a:p>
        </cdr:txBody>
      </cdr:sp>
      <cdr:sp macro="" textlink="'Single Sample Statistics'!$J$16">
        <cdr:nvSpPr>
          <cdr:cNvPr id="12374" name="Text 50"/>
          <cdr:cNvSpPr txBox="1">
            <a:spLocks xmlns:a="http://schemas.openxmlformats.org/drawingml/2006/main" noChangeArrowheads="1" noTextEdit="1"/>
          </cdr:cNvSpPr>
        </cdr:nvSpPr>
        <cdr:spPr bwMode="auto">
          <a:xfrm xmlns:a="http://schemas.openxmlformats.org/drawingml/2006/main">
            <a:off x="8575138" y="1784052"/>
            <a:ext cx="511193"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3D1A20F-CCB1-446B-BAB9-2A4FF4EE46CA}" type="TxLink">
              <a:rPr lang="en-GB"/>
              <a:pPr/>
              <a:t> </a:t>
            </a:fld>
            <a:endParaRPr lang="en-GB"/>
          </a:p>
        </cdr:txBody>
      </cdr:sp>
      <cdr:sp macro="" textlink="'Single Sample Statistics'!$O$17">
        <cdr:nvSpPr>
          <cdr:cNvPr id="12377" name="Text 54"/>
          <cdr:cNvSpPr txBox="1">
            <a:spLocks xmlns:a="http://schemas.openxmlformats.org/drawingml/2006/main" noChangeArrowheads="1" noTextEdit="1"/>
          </cdr:cNvSpPr>
        </cdr:nvSpPr>
        <cdr:spPr bwMode="auto">
          <a:xfrm xmlns:a="http://schemas.openxmlformats.org/drawingml/2006/main">
            <a:off x="8575138" y="4113697"/>
            <a:ext cx="485864" cy="17952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60E78D6-A2E0-4C37-B371-D688D2D09105}" type="TxLink">
              <a:rPr lang="en-GB"/>
              <a:pPr/>
              <a:t> </a:t>
            </a:fld>
            <a:endParaRPr lang="en-GB"/>
          </a:p>
        </cdr:txBody>
      </cdr:sp>
      <cdr:sp macro="" textlink="'Single Sample Statistics'!$O$16">
        <cdr:nvSpPr>
          <cdr:cNvPr id="12378" name="Text 54"/>
          <cdr:cNvSpPr txBox="1">
            <a:spLocks xmlns:a="http://schemas.openxmlformats.org/drawingml/2006/main" noChangeArrowheads="1"/>
          </cdr:cNvSpPr>
        </cdr:nvSpPr>
        <cdr:spPr bwMode="auto">
          <a:xfrm xmlns:a="http://schemas.openxmlformats.org/drawingml/2006/main">
            <a:off x="8575138" y="3903314"/>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94EF6A8-D6CB-4E56-919C-57DFE2378640}" type="TxLink">
              <a:rPr lang="en-GB"/>
              <a:pPr/>
              <a:t> </a:t>
            </a:fld>
            <a:endParaRPr lang="en-GB"/>
          </a:p>
        </cdr:txBody>
      </cdr:sp>
      <cdr:sp macro="" textlink="'Single Sample Statistics'!$O$15">
        <cdr:nvSpPr>
          <cdr:cNvPr id="12379" name="Text 54"/>
          <cdr:cNvSpPr txBox="1">
            <a:spLocks xmlns:a="http://schemas.openxmlformats.org/drawingml/2006/main" noChangeArrowheads="1" noTextEdit="1"/>
          </cdr:cNvSpPr>
        </cdr:nvSpPr>
        <cdr:spPr bwMode="auto">
          <a:xfrm xmlns:a="http://schemas.openxmlformats.org/drawingml/2006/main">
            <a:off x="8575138" y="3692931"/>
            <a:ext cx="47435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9059D74-7EB9-4E3C-9D50-6994EAC618CB}" type="TxLink">
              <a:rPr lang="en-GB"/>
              <a:pPr/>
              <a:t> </a:t>
            </a:fld>
            <a:endParaRPr lang="en-GB"/>
          </a:p>
        </cdr:txBody>
      </cdr:sp>
      <cdr:sp macro="" textlink="'Single Sample Statistics'!$O$14">
        <cdr:nvSpPr>
          <cdr:cNvPr id="12380" name="Text 54"/>
          <cdr:cNvSpPr txBox="1">
            <a:spLocks xmlns:a="http://schemas.openxmlformats.org/drawingml/2006/main" noChangeArrowheads="1" noTextEdit="1"/>
          </cdr:cNvSpPr>
        </cdr:nvSpPr>
        <cdr:spPr bwMode="auto">
          <a:xfrm xmlns:a="http://schemas.openxmlformats.org/drawingml/2006/main">
            <a:off x="8575138" y="3476937"/>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A15FFA45-B3FD-4609-8992-A4E5461627FD}" type="TxLink">
              <a:rPr lang="en-GB"/>
              <a:pPr/>
              <a:t> </a:t>
            </a:fld>
            <a:endParaRPr lang="en-GB"/>
          </a:p>
        </cdr:txBody>
      </cdr:sp>
      <cdr:sp macro="" textlink="'Single Sample Statistics'!$O$13">
        <cdr:nvSpPr>
          <cdr:cNvPr id="12381" name="Text 54"/>
          <cdr:cNvSpPr txBox="1">
            <a:spLocks xmlns:a="http://schemas.openxmlformats.org/drawingml/2006/main" noChangeArrowheads="1" noTextEdit="1"/>
          </cdr:cNvSpPr>
        </cdr:nvSpPr>
        <cdr:spPr bwMode="auto">
          <a:xfrm xmlns:a="http://schemas.openxmlformats.org/drawingml/2006/main">
            <a:off x="8575138" y="3270761"/>
            <a:ext cx="48586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79F3C6D-35C9-4B3D-80D4-68CFD97EDD8D}" type="TxLink">
              <a:rPr lang="en-GB"/>
              <a:pPr/>
              <a:t> </a:t>
            </a:fld>
            <a:endParaRPr lang="en-GB"/>
          </a:p>
        </cdr:txBody>
      </cdr:sp>
    </cdr:grpSp>
  </cdr:relSizeAnchor>
  <cdr:relSizeAnchor xmlns:cdr="http://schemas.openxmlformats.org/drawingml/2006/chartDrawing">
    <cdr:from>
      <cdr:x>0.5295</cdr:x>
      <cdr:y>0</cdr:y>
    </cdr:from>
    <cdr:to>
      <cdr:x>0.71075</cdr:x>
      <cdr:y>0.189</cdr:y>
    </cdr:to>
    <cdr:sp macro="" textlink="">
      <cdr:nvSpPr>
        <cdr:cNvPr id="12414" name="Rectangle 126"/>
        <cdr:cNvSpPr>
          <a:spLocks xmlns:a="http://schemas.openxmlformats.org/drawingml/2006/main" noChangeArrowheads="1"/>
        </cdr:cNvSpPr>
      </cdr:nvSpPr>
      <cdr:spPr bwMode="auto">
        <a:xfrm xmlns:a="http://schemas.openxmlformats.org/drawingml/2006/main">
          <a:off x="4877052" y="0"/>
          <a:ext cx="1669435" cy="10621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0.016</cdr:x>
      <cdr:y>0.09425</cdr:y>
    </cdr:from>
    <cdr:to>
      <cdr:x>0.14675</cdr:x>
      <cdr:y>0.1715</cdr:y>
    </cdr:to>
    <cdr:sp macro="" textlink="">
      <cdr:nvSpPr>
        <cdr:cNvPr id="12474" name="Rectangle 186"/>
        <cdr:cNvSpPr>
          <a:spLocks xmlns:a="http://schemas.openxmlformats.org/drawingml/2006/main" noChangeArrowheads="1"/>
        </cdr:cNvSpPr>
      </cdr:nvSpPr>
      <cdr:spPr bwMode="auto">
        <a:xfrm xmlns:a="http://schemas.openxmlformats.org/drawingml/2006/main">
          <a:off x="147371" y="529661"/>
          <a:ext cx="1204296" cy="434126"/>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userShapes>
</file>

<file path=xl/drawings/drawing10.xml><?xml version="1.0" encoding="utf-8"?>
<xdr:wsDr xmlns:xdr="http://schemas.openxmlformats.org/drawingml/2006/spreadsheetDrawing" xmlns:a="http://schemas.openxmlformats.org/drawingml/2006/main">
  <xdr:absoluteAnchor>
    <xdr:pos x="0" y="0"/>
    <xdr:ext cx="9934575" cy="662940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9934575" cy="66484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9934575" cy="6629400"/>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934575" cy="6629400"/>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twoCellAnchor editAs="absolute">
    <xdr:from>
      <xdr:col>26</xdr:col>
      <xdr:colOff>238125</xdr:colOff>
      <xdr:row>12</xdr:row>
      <xdr:rowOff>9525</xdr:rowOff>
    </xdr:from>
    <xdr:to>
      <xdr:col>77</xdr:col>
      <xdr:colOff>466725</xdr:colOff>
      <xdr:row>23</xdr:row>
      <xdr:rowOff>123825</xdr:rowOff>
    </xdr:to>
    <xdr:sp macro="" textlink="">
      <xdr:nvSpPr>
        <xdr:cNvPr id="8193" name="Rectangle 1">
          <a:extLst>
            <a:ext uri="{FF2B5EF4-FFF2-40B4-BE49-F238E27FC236}">
              <a16:creationId xmlns:a16="http://schemas.microsoft.com/office/drawing/2014/main" id="{00000000-0008-0000-0C00-000001200000}"/>
            </a:ext>
          </a:extLst>
        </xdr:cNvPr>
        <xdr:cNvSpPr>
          <a:spLocks noChangeArrowheads="1"/>
        </xdr:cNvSpPr>
      </xdr:nvSpPr>
      <xdr:spPr bwMode="auto">
        <a:xfrm>
          <a:off x="25003125" y="2352675"/>
          <a:ext cx="3819525" cy="2657475"/>
        </a:xfrm>
        <a:prstGeom prst="rect">
          <a:avLst/>
        </a:prstGeom>
        <a:noFill/>
        <a:ln w="76200" cmpd="tri">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Word_97_-_2003_Document.doc"/></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image" Target="../media/image5.emf"/><Relationship Id="rId4" Type="http://schemas.openxmlformats.org/officeDocument/2006/relationships/control" Target="../activeX/activeX1.xml"/><Relationship Id="rId9"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8" Type="http://schemas.openxmlformats.org/officeDocument/2006/relationships/oleObject" Target="../embeddings/oleObject4.bin"/><Relationship Id="rId13" Type="http://schemas.openxmlformats.org/officeDocument/2006/relationships/image" Target="../media/image10.emf"/><Relationship Id="rId18" Type="http://schemas.openxmlformats.org/officeDocument/2006/relationships/oleObject" Target="../embeddings/oleObject9.bin"/><Relationship Id="rId26" Type="http://schemas.openxmlformats.org/officeDocument/2006/relationships/oleObject" Target="../embeddings/oleObject13.bin"/><Relationship Id="rId39" Type="http://schemas.openxmlformats.org/officeDocument/2006/relationships/oleObject" Target="../embeddings/oleObject20.bin"/><Relationship Id="rId3" Type="http://schemas.openxmlformats.org/officeDocument/2006/relationships/vmlDrawing" Target="../drawings/vmlDrawing5.vml"/><Relationship Id="rId21" Type="http://schemas.openxmlformats.org/officeDocument/2006/relationships/image" Target="../media/image14.emf"/><Relationship Id="rId34" Type="http://schemas.openxmlformats.org/officeDocument/2006/relationships/oleObject" Target="../embeddings/oleObject17.bin"/><Relationship Id="rId42" Type="http://schemas.openxmlformats.org/officeDocument/2006/relationships/image" Target="../media/image24.emf"/><Relationship Id="rId7" Type="http://schemas.openxmlformats.org/officeDocument/2006/relationships/image" Target="../media/image7.emf"/><Relationship Id="rId12" Type="http://schemas.openxmlformats.org/officeDocument/2006/relationships/oleObject" Target="../embeddings/oleObject6.bin"/><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image" Target="../media/image22.emf"/><Relationship Id="rId2" Type="http://schemas.openxmlformats.org/officeDocument/2006/relationships/drawing" Target="../drawings/drawing5.xml"/><Relationship Id="rId16" Type="http://schemas.openxmlformats.org/officeDocument/2006/relationships/oleObject" Target="../embeddings/oleObject8.bin"/><Relationship Id="rId20" Type="http://schemas.openxmlformats.org/officeDocument/2006/relationships/oleObject" Target="../embeddings/oleObject10.bin"/><Relationship Id="rId29" Type="http://schemas.openxmlformats.org/officeDocument/2006/relationships/image" Target="../media/image18.emf"/><Relationship Id="rId41" Type="http://schemas.openxmlformats.org/officeDocument/2006/relationships/oleObject" Target="../embeddings/oleObject21.bin"/><Relationship Id="rId1" Type="http://schemas.openxmlformats.org/officeDocument/2006/relationships/printerSettings" Target="../printerSettings/printerSettings5.bin"/><Relationship Id="rId6" Type="http://schemas.openxmlformats.org/officeDocument/2006/relationships/oleObject" Target="../embeddings/oleObject3.bin"/><Relationship Id="rId11" Type="http://schemas.openxmlformats.org/officeDocument/2006/relationships/image" Target="../media/image9.emf"/><Relationship Id="rId24" Type="http://schemas.openxmlformats.org/officeDocument/2006/relationships/oleObject" Target="../embeddings/oleObject12.bin"/><Relationship Id="rId32" Type="http://schemas.openxmlformats.org/officeDocument/2006/relationships/oleObject" Target="../embeddings/oleObject16.bin"/><Relationship Id="rId37" Type="http://schemas.openxmlformats.org/officeDocument/2006/relationships/oleObject" Target="../embeddings/oleObject19.bin"/><Relationship Id="rId40" Type="http://schemas.openxmlformats.org/officeDocument/2006/relationships/image" Target="../media/image23.emf"/><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oleObject" Target="../embeddings/oleObject14.bin"/><Relationship Id="rId36" Type="http://schemas.openxmlformats.org/officeDocument/2006/relationships/oleObject" Target="../embeddings/oleObject18.bin"/><Relationship Id="rId10" Type="http://schemas.openxmlformats.org/officeDocument/2006/relationships/oleObject" Target="../embeddings/oleObject5.bin"/><Relationship Id="rId19" Type="http://schemas.openxmlformats.org/officeDocument/2006/relationships/image" Target="../media/image13.emf"/><Relationship Id="rId31" Type="http://schemas.openxmlformats.org/officeDocument/2006/relationships/image" Target="../media/image19.emf"/><Relationship Id="rId4" Type="http://schemas.openxmlformats.org/officeDocument/2006/relationships/oleObject" Target="../embeddings/oleObject2.bin"/><Relationship Id="rId9" Type="http://schemas.openxmlformats.org/officeDocument/2006/relationships/image" Target="../media/image8.emf"/><Relationship Id="rId14" Type="http://schemas.openxmlformats.org/officeDocument/2006/relationships/oleObject" Target="../embeddings/oleObject7.bin"/><Relationship Id="rId22" Type="http://schemas.openxmlformats.org/officeDocument/2006/relationships/oleObject" Target="../embeddings/oleObject11.bin"/><Relationship Id="rId27" Type="http://schemas.openxmlformats.org/officeDocument/2006/relationships/image" Target="../media/image17.emf"/><Relationship Id="rId30" Type="http://schemas.openxmlformats.org/officeDocument/2006/relationships/oleObject" Target="../embeddings/oleObject15.bin"/><Relationship Id="rId35" Type="http://schemas.openxmlformats.org/officeDocument/2006/relationships/image" Target="../media/image21.emf"/></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E1:E61"/>
  <sheetViews>
    <sheetView showGridLines="0" workbookViewId="0"/>
  </sheetViews>
  <sheetFormatPr defaultRowHeight="12.75" x14ac:dyDescent="0.2"/>
  <sheetData>
    <row r="1" spans="5:5" ht="18" x14ac:dyDescent="0.25">
      <c r="E1" s="21" t="s">
        <v>21</v>
      </c>
    </row>
    <row r="2" spans="5:5" ht="15.75" x14ac:dyDescent="0.25">
      <c r="E2" s="285" t="s">
        <v>208</v>
      </c>
    </row>
    <row r="4" spans="5:5" x14ac:dyDescent="0.2">
      <c r="E4" s="23" t="s">
        <v>22</v>
      </c>
    </row>
    <row r="5" spans="5:5" x14ac:dyDescent="0.2">
      <c r="E5" s="23" t="s">
        <v>23</v>
      </c>
    </row>
    <row r="7" spans="5:5" x14ac:dyDescent="0.2">
      <c r="E7" s="15" t="s">
        <v>205</v>
      </c>
    </row>
    <row r="8" spans="5:5" x14ac:dyDescent="0.2">
      <c r="E8" s="15"/>
    </row>
    <row r="9" spans="5:5" x14ac:dyDescent="0.2">
      <c r="E9" s="15" t="s">
        <v>203</v>
      </c>
    </row>
    <row r="10" spans="5:5" x14ac:dyDescent="0.2">
      <c r="E10" s="334" t="s">
        <v>209</v>
      </c>
    </row>
    <row r="11" spans="5:5" x14ac:dyDescent="0.2">
      <c r="E11" s="334" t="s">
        <v>210</v>
      </c>
    </row>
    <row r="12" spans="5:5" x14ac:dyDescent="0.2">
      <c r="E12" s="334" t="s">
        <v>211</v>
      </c>
    </row>
    <row r="13" spans="5:5" x14ac:dyDescent="0.2">
      <c r="E13" s="334" t="s">
        <v>212</v>
      </c>
    </row>
    <row r="14" spans="5:5" x14ac:dyDescent="0.2">
      <c r="E14" s="15" t="s">
        <v>204</v>
      </c>
    </row>
    <row r="15" spans="5:5" x14ac:dyDescent="0.2">
      <c r="E15" s="15"/>
    </row>
    <row r="16" spans="5:5" x14ac:dyDescent="0.2">
      <c r="E16" s="15" t="s">
        <v>202</v>
      </c>
    </row>
    <row r="17" spans="5:5" x14ac:dyDescent="0.2">
      <c r="E17" s="334" t="s">
        <v>213</v>
      </c>
    </row>
    <row r="18" spans="5:5" x14ac:dyDescent="0.2">
      <c r="E18" s="15"/>
    </row>
    <row r="19" spans="5:5" x14ac:dyDescent="0.2">
      <c r="E19" s="15"/>
    </row>
    <row r="20" spans="5:5" x14ac:dyDescent="0.2">
      <c r="E20" s="15"/>
    </row>
    <row r="21" spans="5:5" x14ac:dyDescent="0.2">
      <c r="E21" s="15"/>
    </row>
    <row r="22" spans="5:5" x14ac:dyDescent="0.2">
      <c r="E22" s="15"/>
    </row>
    <row r="23" spans="5:5" x14ac:dyDescent="0.2">
      <c r="E23" s="15"/>
    </row>
    <row r="24" spans="5:5" x14ac:dyDescent="0.2">
      <c r="E24" s="15"/>
    </row>
    <row r="25" spans="5:5" x14ac:dyDescent="0.2">
      <c r="E25" s="15"/>
    </row>
    <row r="26" spans="5:5" x14ac:dyDescent="0.2">
      <c r="E26" s="15"/>
    </row>
    <row r="27" spans="5:5" x14ac:dyDescent="0.2">
      <c r="E27" s="15"/>
    </row>
    <row r="28" spans="5:5" x14ac:dyDescent="0.2">
      <c r="E28" s="15"/>
    </row>
    <row r="29" spans="5:5" x14ac:dyDescent="0.2">
      <c r="E29" s="15"/>
    </row>
    <row r="30" spans="5:5" x14ac:dyDescent="0.2">
      <c r="E30" s="15"/>
    </row>
    <row r="31" spans="5:5" x14ac:dyDescent="0.2">
      <c r="E31" s="15"/>
    </row>
    <row r="32" spans="5:5" x14ac:dyDescent="0.2">
      <c r="E32" s="15"/>
    </row>
    <row r="33" spans="5:5" x14ac:dyDescent="0.2">
      <c r="E33" s="15"/>
    </row>
    <row r="34" spans="5:5" x14ac:dyDescent="0.2">
      <c r="E34" s="15"/>
    </row>
    <row r="35" spans="5:5" x14ac:dyDescent="0.2">
      <c r="E35" s="15"/>
    </row>
    <row r="36" spans="5:5" x14ac:dyDescent="0.2">
      <c r="E36" s="15"/>
    </row>
    <row r="37" spans="5:5" x14ac:dyDescent="0.2">
      <c r="E37" s="15"/>
    </row>
    <row r="38" spans="5:5" x14ac:dyDescent="0.2">
      <c r="E38" s="15"/>
    </row>
    <row r="39" spans="5:5" x14ac:dyDescent="0.2">
      <c r="E39" s="15"/>
    </row>
    <row r="40" spans="5:5" x14ac:dyDescent="0.2">
      <c r="E40" s="15"/>
    </row>
    <row r="41" spans="5:5" x14ac:dyDescent="0.2">
      <c r="E41" s="15"/>
    </row>
    <row r="61" spans="5:5" ht="15.75" x14ac:dyDescent="0.25">
      <c r="E61" s="22" t="s">
        <v>24</v>
      </c>
    </row>
  </sheetData>
  <phoneticPr fontId="0" type="noConversion"/>
  <pageMargins left="0.75" right="0.75" top="1" bottom="1" header="0.5" footer="0.5"/>
  <pageSetup paperSize="9" orientation="portrait" horizontalDpi="4294967292" verticalDpi="300" r:id="rId1"/>
  <headerFooter alignWithMargins="0"/>
  <drawing r:id="rId2"/>
  <legacyDrawing r:id="rId3"/>
  <oleObjects>
    <mc:AlternateContent xmlns:mc="http://schemas.openxmlformats.org/markup-compatibility/2006">
      <mc:Choice Requires="x14">
        <oleObject progId="Word.Document.8" shapeId="3078" r:id="rId4">
          <objectPr defaultSize="0" r:id="rId5">
            <anchor moveWithCells="1">
              <from>
                <xdr:col>0</xdr:col>
                <xdr:colOff>85725</xdr:colOff>
                <xdr:row>254</xdr:row>
                <xdr:rowOff>57150</xdr:rowOff>
              </from>
              <to>
                <xdr:col>9</xdr:col>
                <xdr:colOff>142875</xdr:colOff>
                <xdr:row>300</xdr:row>
                <xdr:rowOff>9525</xdr:rowOff>
              </to>
            </anchor>
          </objectPr>
        </oleObject>
      </mc:Choice>
      <mc:Fallback>
        <oleObject progId="Word.Document.8" shapeId="3078"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V250"/>
  <sheetViews>
    <sheetView showGridLines="0" tabSelected="1" workbookViewId="0"/>
  </sheetViews>
  <sheetFormatPr defaultRowHeight="12.75" x14ac:dyDescent="0.2"/>
  <cols>
    <col min="1" max="1" width="4" customWidth="1"/>
    <col min="2" max="2" width="16.7109375" customWidth="1"/>
    <col min="3" max="3" width="18" customWidth="1"/>
    <col min="4" max="4" width="10.85546875" customWidth="1"/>
    <col min="5" max="5" width="13.140625" customWidth="1"/>
    <col min="6" max="6" width="7.5703125" customWidth="1"/>
    <col min="7" max="7" width="11.7109375" customWidth="1"/>
    <col min="8" max="8" width="9.42578125" customWidth="1"/>
  </cols>
  <sheetData>
    <row r="1" spans="1:22" ht="18" x14ac:dyDescent="0.25">
      <c r="B1" s="19" t="s">
        <v>63</v>
      </c>
      <c r="C1" s="19"/>
      <c r="D1" s="19"/>
      <c r="E1" t="s">
        <v>0</v>
      </c>
      <c r="L1" s="15"/>
    </row>
    <row r="2" spans="1:22" x14ac:dyDescent="0.2">
      <c r="E2" t="s">
        <v>70</v>
      </c>
      <c r="L2" s="15"/>
    </row>
    <row r="3" spans="1:22" x14ac:dyDescent="0.2">
      <c r="B3" s="12" t="s">
        <v>1</v>
      </c>
      <c r="C3" s="108"/>
      <c r="D3" s="24"/>
      <c r="E3" s="25"/>
      <c r="F3" s="24"/>
      <c r="G3" s="24"/>
      <c r="L3" s="15"/>
    </row>
    <row r="4" spans="1:22" x14ac:dyDescent="0.2">
      <c r="B4" s="12" t="s">
        <v>2</v>
      </c>
      <c r="C4" s="107" t="s">
        <v>189</v>
      </c>
      <c r="L4" s="15"/>
    </row>
    <row r="5" spans="1:22" x14ac:dyDescent="0.2">
      <c r="B5" s="12" t="s">
        <v>3</v>
      </c>
      <c r="C5" s="208"/>
      <c r="G5" s="12" t="s">
        <v>4</v>
      </c>
      <c r="L5" s="15"/>
    </row>
    <row r="6" spans="1:22" x14ac:dyDescent="0.2">
      <c r="B6" s="12" t="s">
        <v>5</v>
      </c>
      <c r="C6" s="27"/>
      <c r="D6" t="s">
        <v>6</v>
      </c>
      <c r="G6" s="12" t="s">
        <v>199</v>
      </c>
      <c r="L6" s="15"/>
    </row>
    <row r="7" spans="1:22" ht="12.75" customHeight="1" x14ac:dyDescent="0.25">
      <c r="B7" s="20"/>
      <c r="C7" s="20"/>
      <c r="D7" s="17"/>
      <c r="G7" s="12" t="s">
        <v>7</v>
      </c>
      <c r="L7" s="15"/>
    </row>
    <row r="8" spans="1:22" ht="13.5" thickBot="1" x14ac:dyDescent="0.25">
      <c r="L8" s="15"/>
    </row>
    <row r="9" spans="1:22" x14ac:dyDescent="0.2">
      <c r="B9" s="10" t="s">
        <v>198</v>
      </c>
      <c r="C9" s="8" t="s">
        <v>68</v>
      </c>
      <c r="L9" s="15"/>
    </row>
    <row r="10" spans="1:22" ht="13.5" customHeight="1" thickBot="1" x14ac:dyDescent="0.25">
      <c r="B10" s="11" t="s">
        <v>147</v>
      </c>
      <c r="C10" s="9" t="s">
        <v>69</v>
      </c>
      <c r="D10" s="18"/>
      <c r="E10" s="29"/>
      <c r="F10" s="30"/>
      <c r="G10" s="30"/>
      <c r="H10" s="30"/>
      <c r="I10" s="30"/>
      <c r="J10" s="30"/>
      <c r="K10" s="30"/>
      <c r="L10" s="15"/>
      <c r="M10" s="30"/>
      <c r="N10" s="30"/>
      <c r="O10" s="30"/>
      <c r="P10" s="30"/>
      <c r="Q10" s="30"/>
      <c r="R10" s="30"/>
      <c r="S10" s="30"/>
      <c r="T10" s="30"/>
      <c r="U10" s="30"/>
      <c r="V10" s="30"/>
    </row>
    <row r="11" spans="1:22" s="15" customFormat="1" ht="13.5" customHeight="1" x14ac:dyDescent="0.2">
      <c r="A11"/>
      <c r="B11" s="268">
        <v>90000</v>
      </c>
      <c r="C11" s="266"/>
    </row>
    <row r="12" spans="1:22" s="15" customFormat="1" x14ac:dyDescent="0.2">
      <c r="A12"/>
      <c r="B12" s="269">
        <v>63000</v>
      </c>
      <c r="C12" s="246"/>
    </row>
    <row r="13" spans="1:22" s="15" customFormat="1" x14ac:dyDescent="0.2">
      <c r="A13"/>
      <c r="B13" s="269">
        <v>45000</v>
      </c>
      <c r="C13" s="246"/>
    </row>
    <row r="14" spans="1:22" s="15" customFormat="1" x14ac:dyDescent="0.2">
      <c r="A14"/>
      <c r="B14" s="269">
        <v>31500</v>
      </c>
      <c r="C14" s="246"/>
    </row>
    <row r="15" spans="1:22" s="15" customFormat="1" x14ac:dyDescent="0.2">
      <c r="A15"/>
      <c r="B15" s="269">
        <v>22400</v>
      </c>
      <c r="C15" s="246"/>
    </row>
    <row r="16" spans="1:22" s="15" customFormat="1" x14ac:dyDescent="0.2">
      <c r="A16"/>
      <c r="B16" s="269">
        <v>16000</v>
      </c>
      <c r="C16" s="246"/>
    </row>
    <row r="17" spans="1:3" s="15" customFormat="1" x14ac:dyDescent="0.2">
      <c r="A17"/>
      <c r="B17" s="269">
        <v>11200</v>
      </c>
      <c r="C17" s="246"/>
    </row>
    <row r="18" spans="1:3" s="15" customFormat="1" x14ac:dyDescent="0.2">
      <c r="A18"/>
      <c r="B18" s="269">
        <v>8000</v>
      </c>
      <c r="C18" s="246"/>
    </row>
    <row r="19" spans="1:3" s="15" customFormat="1" x14ac:dyDescent="0.2">
      <c r="A19"/>
      <c r="B19" s="269">
        <v>5600</v>
      </c>
      <c r="C19" s="246"/>
    </row>
    <row r="20" spans="1:3" s="15" customFormat="1" x14ac:dyDescent="0.2">
      <c r="A20"/>
      <c r="B20" s="269">
        <v>4000</v>
      </c>
      <c r="C20" s="246"/>
    </row>
    <row r="21" spans="1:3" s="15" customFormat="1" x14ac:dyDescent="0.2">
      <c r="A21"/>
      <c r="B21" s="269">
        <v>2800</v>
      </c>
      <c r="C21" s="246"/>
    </row>
    <row r="22" spans="1:3" s="15" customFormat="1" x14ac:dyDescent="0.2">
      <c r="A22"/>
      <c r="B22" s="269">
        <v>2000</v>
      </c>
      <c r="C22" s="246"/>
    </row>
    <row r="23" spans="1:3" s="15" customFormat="1" x14ac:dyDescent="0.2">
      <c r="A23"/>
      <c r="B23" s="269">
        <v>1400</v>
      </c>
      <c r="C23" s="246"/>
    </row>
    <row r="24" spans="1:3" s="15" customFormat="1" x14ac:dyDescent="0.2">
      <c r="A24"/>
      <c r="B24" s="269">
        <v>1000</v>
      </c>
      <c r="C24" s="246"/>
    </row>
    <row r="25" spans="1:3" s="15" customFormat="1" x14ac:dyDescent="0.2">
      <c r="A25"/>
      <c r="B25" s="269">
        <v>710</v>
      </c>
      <c r="C25" s="246"/>
    </row>
    <row r="26" spans="1:3" s="15" customFormat="1" x14ac:dyDescent="0.2">
      <c r="A26"/>
      <c r="B26" s="269">
        <v>500</v>
      </c>
      <c r="C26" s="246"/>
    </row>
    <row r="27" spans="1:3" s="15" customFormat="1" x14ac:dyDescent="0.2">
      <c r="A27"/>
      <c r="B27" s="269">
        <v>355</v>
      </c>
      <c r="C27" s="246"/>
    </row>
    <row r="28" spans="1:3" s="15" customFormat="1" x14ac:dyDescent="0.2">
      <c r="A28"/>
      <c r="B28" s="269">
        <v>250</v>
      </c>
      <c r="C28" s="246"/>
    </row>
    <row r="29" spans="1:3" s="15" customFormat="1" x14ac:dyDescent="0.2">
      <c r="A29"/>
      <c r="B29" s="269">
        <v>180</v>
      </c>
      <c r="C29" s="246"/>
    </row>
    <row r="30" spans="1:3" s="15" customFormat="1" x14ac:dyDescent="0.2">
      <c r="A30"/>
      <c r="B30" s="269">
        <v>125</v>
      </c>
      <c r="C30" s="246"/>
    </row>
    <row r="31" spans="1:3" s="15" customFormat="1" x14ac:dyDescent="0.2">
      <c r="A31"/>
      <c r="B31" s="269">
        <v>90</v>
      </c>
      <c r="C31" s="246"/>
    </row>
    <row r="32" spans="1:3" s="15" customFormat="1" x14ac:dyDescent="0.2">
      <c r="A32"/>
      <c r="B32" s="269">
        <v>63</v>
      </c>
      <c r="C32" s="246"/>
    </row>
    <row r="33" spans="1:3" s="15" customFormat="1" ht="13.5" thickBot="1" x14ac:dyDescent="0.25">
      <c r="A33"/>
      <c r="B33" s="28"/>
      <c r="C33" s="267"/>
    </row>
    <row r="34" spans="1:3" s="15" customFormat="1" x14ac:dyDescent="0.2">
      <c r="A34"/>
    </row>
    <row r="35" spans="1:3" s="15" customFormat="1" x14ac:dyDescent="0.2">
      <c r="A35"/>
    </row>
    <row r="36" spans="1:3" s="15" customFormat="1" x14ac:dyDescent="0.2">
      <c r="A36"/>
    </row>
    <row r="37" spans="1:3" s="15" customFormat="1" x14ac:dyDescent="0.2">
      <c r="A37"/>
    </row>
    <row r="38" spans="1:3" s="15" customFormat="1" x14ac:dyDescent="0.2">
      <c r="A38"/>
    </row>
    <row r="39" spans="1:3" s="15" customFormat="1" x14ac:dyDescent="0.2">
      <c r="A39"/>
    </row>
    <row r="40" spans="1:3" s="15" customFormat="1" x14ac:dyDescent="0.2">
      <c r="A40"/>
    </row>
    <row r="41" spans="1:3" s="15" customFormat="1" x14ac:dyDescent="0.2">
      <c r="A41"/>
    </row>
    <row r="42" spans="1:3" s="15" customFormat="1" x14ac:dyDescent="0.2">
      <c r="A42"/>
    </row>
    <row r="43" spans="1:3" s="15" customFormat="1" x14ac:dyDescent="0.2">
      <c r="A43"/>
    </row>
    <row r="44" spans="1:3" s="15" customFormat="1" x14ac:dyDescent="0.2">
      <c r="A44"/>
    </row>
    <row r="45" spans="1:3" s="15" customFormat="1" x14ac:dyDescent="0.2">
      <c r="A45"/>
    </row>
    <row r="46" spans="1:3" s="15" customFormat="1" x14ac:dyDescent="0.2">
      <c r="A46"/>
    </row>
    <row r="47" spans="1:3" s="15" customFormat="1" x14ac:dyDescent="0.2">
      <c r="A47"/>
    </row>
    <row r="48" spans="1:3" s="15" customFormat="1" x14ac:dyDescent="0.2">
      <c r="A48"/>
    </row>
    <row r="49" spans="1:1" s="15" customFormat="1" x14ac:dyDescent="0.2">
      <c r="A49"/>
    </row>
    <row r="50" spans="1:1" s="15" customFormat="1" x14ac:dyDescent="0.2">
      <c r="A50"/>
    </row>
    <row r="51" spans="1:1" s="15" customFormat="1" x14ac:dyDescent="0.2">
      <c r="A51"/>
    </row>
    <row r="52" spans="1:1" s="15" customFormat="1" x14ac:dyDescent="0.2">
      <c r="A52"/>
    </row>
    <row r="53" spans="1:1" s="15" customFormat="1" x14ac:dyDescent="0.2">
      <c r="A53"/>
    </row>
    <row r="54" spans="1:1" s="15" customFormat="1" x14ac:dyDescent="0.2">
      <c r="A54"/>
    </row>
    <row r="55" spans="1:1" s="15" customFormat="1" x14ac:dyDescent="0.2">
      <c r="A55"/>
    </row>
    <row r="56" spans="1:1" s="15" customFormat="1" x14ac:dyDescent="0.2">
      <c r="A56"/>
    </row>
    <row r="57" spans="1:1" s="15" customFormat="1" x14ac:dyDescent="0.2">
      <c r="A57"/>
    </row>
    <row r="58" spans="1:1" s="15" customFormat="1" x14ac:dyDescent="0.2">
      <c r="A58"/>
    </row>
    <row r="59" spans="1:1" s="15" customFormat="1" x14ac:dyDescent="0.2">
      <c r="A59"/>
    </row>
    <row r="60" spans="1:1" s="15" customFormat="1" x14ac:dyDescent="0.2">
      <c r="A60"/>
    </row>
    <row r="61" spans="1:1" s="15" customFormat="1" x14ac:dyDescent="0.2">
      <c r="A61"/>
    </row>
    <row r="62" spans="1:1" s="15" customFormat="1" x14ac:dyDescent="0.2">
      <c r="A62"/>
    </row>
    <row r="63" spans="1:1" s="15" customFormat="1" x14ac:dyDescent="0.2">
      <c r="A63"/>
    </row>
    <row r="64" spans="1:1" s="15" customFormat="1" x14ac:dyDescent="0.2">
      <c r="A64"/>
    </row>
    <row r="65" spans="1:1" s="15" customFormat="1" x14ac:dyDescent="0.2">
      <c r="A65"/>
    </row>
    <row r="66" spans="1:1" s="15" customFormat="1" x14ac:dyDescent="0.2">
      <c r="A66"/>
    </row>
    <row r="67" spans="1:1" s="15" customFormat="1" x14ac:dyDescent="0.2">
      <c r="A67"/>
    </row>
    <row r="68" spans="1:1" s="15" customFormat="1" x14ac:dyDescent="0.2">
      <c r="A68"/>
    </row>
    <row r="69" spans="1:1" s="15" customFormat="1" x14ac:dyDescent="0.2">
      <c r="A69"/>
    </row>
    <row r="70" spans="1:1" s="15" customFormat="1" x14ac:dyDescent="0.2">
      <c r="A70"/>
    </row>
    <row r="71" spans="1:1" s="15" customFormat="1" x14ac:dyDescent="0.2">
      <c r="A71"/>
    </row>
    <row r="72" spans="1:1" s="15" customFormat="1" x14ac:dyDescent="0.2">
      <c r="A72"/>
    </row>
    <row r="73" spans="1:1" s="15" customFormat="1" x14ac:dyDescent="0.2">
      <c r="A73"/>
    </row>
    <row r="74" spans="1:1" s="15" customFormat="1" x14ac:dyDescent="0.2">
      <c r="A74"/>
    </row>
    <row r="75" spans="1:1" s="15" customFormat="1" x14ac:dyDescent="0.2">
      <c r="A75"/>
    </row>
    <row r="76" spans="1:1" s="15" customFormat="1" x14ac:dyDescent="0.2">
      <c r="A76"/>
    </row>
    <row r="77" spans="1:1" s="15" customFormat="1" x14ac:dyDescent="0.2">
      <c r="A77"/>
    </row>
    <row r="78" spans="1:1" s="15" customFormat="1" x14ac:dyDescent="0.2">
      <c r="A78"/>
    </row>
    <row r="79" spans="1:1" s="15" customFormat="1" x14ac:dyDescent="0.2">
      <c r="A79"/>
    </row>
    <row r="80" spans="1:1" s="15" customFormat="1" x14ac:dyDescent="0.2">
      <c r="A80"/>
    </row>
    <row r="81" spans="1:1" s="15" customFormat="1" x14ac:dyDescent="0.2">
      <c r="A81"/>
    </row>
    <row r="82" spans="1:1" s="15" customFormat="1" x14ac:dyDescent="0.2">
      <c r="A82"/>
    </row>
    <row r="83" spans="1:1" s="15" customFormat="1" x14ac:dyDescent="0.2">
      <c r="A83"/>
    </row>
    <row r="84" spans="1:1" s="15" customFormat="1" x14ac:dyDescent="0.2">
      <c r="A84"/>
    </row>
    <row r="85" spans="1:1" s="15" customFormat="1" x14ac:dyDescent="0.2">
      <c r="A85"/>
    </row>
    <row r="86" spans="1:1" s="15" customFormat="1" x14ac:dyDescent="0.2">
      <c r="A86"/>
    </row>
    <row r="87" spans="1:1" s="15" customFormat="1" x14ac:dyDescent="0.2">
      <c r="A87"/>
    </row>
    <row r="88" spans="1:1" s="15" customFormat="1" x14ac:dyDescent="0.2">
      <c r="A88"/>
    </row>
    <row r="89" spans="1:1" s="15" customFormat="1" x14ac:dyDescent="0.2">
      <c r="A89"/>
    </row>
    <row r="90" spans="1:1" s="15" customFormat="1" x14ac:dyDescent="0.2">
      <c r="A90"/>
    </row>
    <row r="91" spans="1:1" s="15" customFormat="1" x14ac:dyDescent="0.2">
      <c r="A91"/>
    </row>
    <row r="92" spans="1:1" s="15" customFormat="1" x14ac:dyDescent="0.2">
      <c r="A92"/>
    </row>
    <row r="93" spans="1:1" s="15" customFormat="1" x14ac:dyDescent="0.2">
      <c r="A93"/>
    </row>
    <row r="94" spans="1:1" s="15" customFormat="1" x14ac:dyDescent="0.2">
      <c r="A94"/>
    </row>
    <row r="95" spans="1:1" s="15" customFormat="1" x14ac:dyDescent="0.2">
      <c r="A95"/>
    </row>
    <row r="96" spans="1:1" s="15" customFormat="1" x14ac:dyDescent="0.2">
      <c r="A96"/>
    </row>
    <row r="97" spans="1:1" s="15" customFormat="1" x14ac:dyDescent="0.2">
      <c r="A97"/>
    </row>
    <row r="98" spans="1:1" s="15" customFormat="1" x14ac:dyDescent="0.2">
      <c r="A98"/>
    </row>
    <row r="99" spans="1:1" s="15" customFormat="1" x14ac:dyDescent="0.2">
      <c r="A99"/>
    </row>
    <row r="100" spans="1:1" s="15" customFormat="1" x14ac:dyDescent="0.2">
      <c r="A100"/>
    </row>
    <row r="101" spans="1:1" s="15" customFormat="1" x14ac:dyDescent="0.2">
      <c r="A101"/>
    </row>
    <row r="102" spans="1:1" s="15" customFormat="1" x14ac:dyDescent="0.2">
      <c r="A102"/>
    </row>
    <row r="103" spans="1:1" s="15" customFormat="1" x14ac:dyDescent="0.2">
      <c r="A103"/>
    </row>
    <row r="104" spans="1:1" s="15" customFormat="1" x14ac:dyDescent="0.2">
      <c r="A104"/>
    </row>
    <row r="105" spans="1:1" s="15" customFormat="1" x14ac:dyDescent="0.2">
      <c r="A105"/>
    </row>
    <row r="106" spans="1:1" s="15" customFormat="1" x14ac:dyDescent="0.2">
      <c r="A106"/>
    </row>
    <row r="107" spans="1:1" s="15" customFormat="1" x14ac:dyDescent="0.2">
      <c r="A107"/>
    </row>
    <row r="108" spans="1:1" s="15" customFormat="1" x14ac:dyDescent="0.2">
      <c r="A108"/>
    </row>
    <row r="109" spans="1:1" s="15" customFormat="1" x14ac:dyDescent="0.2">
      <c r="A109"/>
    </row>
    <row r="110" spans="1:1" s="15" customFormat="1" x14ac:dyDescent="0.2">
      <c r="A110"/>
    </row>
    <row r="111" spans="1:1" s="15" customFormat="1" x14ac:dyDescent="0.2">
      <c r="A111"/>
    </row>
    <row r="112" spans="1:1" s="15" customFormat="1" x14ac:dyDescent="0.2">
      <c r="A112"/>
    </row>
    <row r="113" spans="1:1" s="15" customFormat="1" x14ac:dyDescent="0.2">
      <c r="A113"/>
    </row>
    <row r="114" spans="1:1" s="15" customFormat="1" x14ac:dyDescent="0.2">
      <c r="A114"/>
    </row>
    <row r="115" spans="1:1" s="15" customFormat="1" x14ac:dyDescent="0.2">
      <c r="A115"/>
    </row>
    <row r="116" spans="1:1" s="15" customFormat="1" x14ac:dyDescent="0.2">
      <c r="A116"/>
    </row>
    <row r="117" spans="1:1" s="15" customFormat="1" x14ac:dyDescent="0.2">
      <c r="A117"/>
    </row>
    <row r="118" spans="1:1" s="15" customFormat="1" x14ac:dyDescent="0.2">
      <c r="A118"/>
    </row>
    <row r="119" spans="1:1" s="15" customFormat="1" x14ac:dyDescent="0.2">
      <c r="A119"/>
    </row>
    <row r="120" spans="1:1" s="15" customFormat="1" x14ac:dyDescent="0.2">
      <c r="A120"/>
    </row>
    <row r="121" spans="1:1" s="15" customFormat="1" x14ac:dyDescent="0.2">
      <c r="A121"/>
    </row>
    <row r="122" spans="1:1" s="15" customFormat="1" x14ac:dyDescent="0.2">
      <c r="A122"/>
    </row>
    <row r="123" spans="1:1" s="15" customFormat="1" x14ac:dyDescent="0.2">
      <c r="A123"/>
    </row>
    <row r="124" spans="1:1" s="15" customFormat="1" x14ac:dyDescent="0.2">
      <c r="A124"/>
    </row>
    <row r="125" spans="1:1" s="15" customFormat="1" x14ac:dyDescent="0.2">
      <c r="A125"/>
    </row>
    <row r="126" spans="1:1" s="15" customFormat="1" x14ac:dyDescent="0.2">
      <c r="A126"/>
    </row>
    <row r="127" spans="1:1" s="15" customFormat="1" x14ac:dyDescent="0.2">
      <c r="A127"/>
    </row>
    <row r="128" spans="1:1" s="15" customFormat="1" x14ac:dyDescent="0.2">
      <c r="A128"/>
    </row>
    <row r="129" spans="1:1" s="15" customFormat="1" x14ac:dyDescent="0.2">
      <c r="A129"/>
    </row>
    <row r="130" spans="1:1" s="15" customFormat="1" x14ac:dyDescent="0.2">
      <c r="A130"/>
    </row>
    <row r="131" spans="1:1" s="15" customFormat="1" x14ac:dyDescent="0.2">
      <c r="A131"/>
    </row>
    <row r="132" spans="1:1" s="15" customFormat="1" x14ac:dyDescent="0.2">
      <c r="A132"/>
    </row>
    <row r="133" spans="1:1" s="15" customFormat="1" x14ac:dyDescent="0.2">
      <c r="A133"/>
    </row>
    <row r="134" spans="1:1" s="15" customFormat="1" x14ac:dyDescent="0.2">
      <c r="A134"/>
    </row>
    <row r="135" spans="1:1" s="15" customFormat="1" x14ac:dyDescent="0.2">
      <c r="A135"/>
    </row>
    <row r="136" spans="1:1" s="15" customFormat="1" x14ac:dyDescent="0.2">
      <c r="A136"/>
    </row>
    <row r="137" spans="1:1" s="15" customFormat="1" x14ac:dyDescent="0.2">
      <c r="A137"/>
    </row>
    <row r="138" spans="1:1" s="15" customFormat="1" x14ac:dyDescent="0.2">
      <c r="A138"/>
    </row>
    <row r="139" spans="1:1" s="15" customFormat="1" x14ac:dyDescent="0.2">
      <c r="A139"/>
    </row>
    <row r="140" spans="1:1" s="15" customFormat="1" x14ac:dyDescent="0.2">
      <c r="A140"/>
    </row>
    <row r="141" spans="1:1" s="15" customFormat="1" x14ac:dyDescent="0.2">
      <c r="A141"/>
    </row>
    <row r="142" spans="1:1" s="15" customFormat="1" x14ac:dyDescent="0.2">
      <c r="A142"/>
    </row>
    <row r="143" spans="1:1" s="15" customFormat="1" x14ac:dyDescent="0.2">
      <c r="A143"/>
    </row>
    <row r="144" spans="1:1" s="15" customFormat="1" x14ac:dyDescent="0.2">
      <c r="A144"/>
    </row>
    <row r="145" spans="1:1" s="15" customFormat="1" x14ac:dyDescent="0.2">
      <c r="A145"/>
    </row>
    <row r="146" spans="1:1" s="15" customFormat="1" x14ac:dyDescent="0.2">
      <c r="A146"/>
    </row>
    <row r="147" spans="1:1" s="15" customFormat="1" x14ac:dyDescent="0.2">
      <c r="A147"/>
    </row>
    <row r="148" spans="1:1" s="15" customFormat="1" x14ac:dyDescent="0.2">
      <c r="A148"/>
    </row>
    <row r="149" spans="1:1" s="15" customFormat="1" x14ac:dyDescent="0.2">
      <c r="A149"/>
    </row>
    <row r="150" spans="1:1" s="15" customFormat="1" x14ac:dyDescent="0.2">
      <c r="A150"/>
    </row>
    <row r="151" spans="1:1" s="15" customFormat="1" x14ac:dyDescent="0.2">
      <c r="A151"/>
    </row>
    <row r="152" spans="1:1" s="15" customFormat="1" x14ac:dyDescent="0.2">
      <c r="A152"/>
    </row>
    <row r="153" spans="1:1" s="15" customFormat="1" x14ac:dyDescent="0.2">
      <c r="A153"/>
    </row>
    <row r="154" spans="1:1" s="15" customFormat="1" x14ac:dyDescent="0.2">
      <c r="A154"/>
    </row>
    <row r="155" spans="1:1" s="15" customFormat="1" x14ac:dyDescent="0.2">
      <c r="A155"/>
    </row>
    <row r="156" spans="1:1" s="15" customFormat="1" x14ac:dyDescent="0.2">
      <c r="A156"/>
    </row>
    <row r="157" spans="1:1" s="15" customFormat="1" x14ac:dyDescent="0.2">
      <c r="A157"/>
    </row>
    <row r="158" spans="1:1" s="15" customFormat="1" x14ac:dyDescent="0.2">
      <c r="A158"/>
    </row>
    <row r="159" spans="1:1" s="15" customFormat="1" x14ac:dyDescent="0.2">
      <c r="A159"/>
    </row>
    <row r="160" spans="1:1" s="15" customFormat="1" x14ac:dyDescent="0.2">
      <c r="A160"/>
    </row>
    <row r="161" spans="1:1" s="15" customFormat="1" x14ac:dyDescent="0.2">
      <c r="A161"/>
    </row>
    <row r="162" spans="1:1" s="15" customFormat="1" x14ac:dyDescent="0.2">
      <c r="A162"/>
    </row>
    <row r="163" spans="1:1" s="15" customFormat="1" x14ac:dyDescent="0.2">
      <c r="A163"/>
    </row>
    <row r="164" spans="1:1" s="15" customFormat="1" x14ac:dyDescent="0.2">
      <c r="A164"/>
    </row>
    <row r="165" spans="1:1" s="15" customFormat="1" x14ac:dyDescent="0.2">
      <c r="A165"/>
    </row>
    <row r="166" spans="1:1" s="15" customFormat="1" x14ac:dyDescent="0.2">
      <c r="A166"/>
    </row>
    <row r="167" spans="1:1" s="15" customFormat="1" x14ac:dyDescent="0.2">
      <c r="A167"/>
    </row>
    <row r="168" spans="1:1" s="15" customFormat="1" x14ac:dyDescent="0.2">
      <c r="A168"/>
    </row>
    <row r="169" spans="1:1" s="15" customFormat="1" x14ac:dyDescent="0.2">
      <c r="A169"/>
    </row>
    <row r="170" spans="1:1" s="15" customFormat="1" x14ac:dyDescent="0.2">
      <c r="A170"/>
    </row>
    <row r="171" spans="1:1" s="15" customFormat="1" x14ac:dyDescent="0.2">
      <c r="A171"/>
    </row>
    <row r="172" spans="1:1" s="15" customFormat="1" x14ac:dyDescent="0.2">
      <c r="A172"/>
    </row>
    <row r="173" spans="1:1" s="15" customFormat="1" x14ac:dyDescent="0.2">
      <c r="A173"/>
    </row>
    <row r="174" spans="1:1" s="15" customFormat="1" x14ac:dyDescent="0.2">
      <c r="A174"/>
    </row>
    <row r="175" spans="1:1" s="15" customFormat="1" x14ac:dyDescent="0.2">
      <c r="A175"/>
    </row>
    <row r="176" spans="1:1" s="15" customFormat="1" x14ac:dyDescent="0.2">
      <c r="A176"/>
    </row>
    <row r="177" spans="1:1" s="15" customFormat="1" x14ac:dyDescent="0.2">
      <c r="A177"/>
    </row>
    <row r="178" spans="1:1" s="15" customFormat="1" x14ac:dyDescent="0.2">
      <c r="A178"/>
    </row>
    <row r="179" spans="1:1" s="15" customFormat="1" x14ac:dyDescent="0.2">
      <c r="A179"/>
    </row>
    <row r="180" spans="1:1" s="15" customFormat="1" x14ac:dyDescent="0.2">
      <c r="A180"/>
    </row>
    <row r="181" spans="1:1" s="15" customFormat="1" x14ac:dyDescent="0.2">
      <c r="A181"/>
    </row>
    <row r="182" spans="1:1" s="15" customFormat="1" x14ac:dyDescent="0.2">
      <c r="A182"/>
    </row>
    <row r="183" spans="1:1" s="15" customFormat="1" x14ac:dyDescent="0.2">
      <c r="A183"/>
    </row>
    <row r="184" spans="1:1" s="15" customFormat="1" x14ac:dyDescent="0.2">
      <c r="A184"/>
    </row>
    <row r="185" spans="1:1" s="15" customFormat="1" x14ac:dyDescent="0.2">
      <c r="A185"/>
    </row>
    <row r="186" spans="1:1" s="15" customFormat="1" x14ac:dyDescent="0.2">
      <c r="A186"/>
    </row>
    <row r="187" spans="1:1" s="15" customFormat="1" x14ac:dyDescent="0.2">
      <c r="A187"/>
    </row>
    <row r="188" spans="1:1" s="15" customFormat="1" x14ac:dyDescent="0.2">
      <c r="A188"/>
    </row>
    <row r="189" spans="1:1" s="15" customFormat="1" x14ac:dyDescent="0.2">
      <c r="A189"/>
    </row>
    <row r="190" spans="1:1" s="15" customFormat="1" x14ac:dyDescent="0.2">
      <c r="A190"/>
    </row>
    <row r="191" spans="1:1" s="15" customFormat="1" x14ac:dyDescent="0.2">
      <c r="A191"/>
    </row>
    <row r="192" spans="1:1" s="15" customFormat="1" x14ac:dyDescent="0.2">
      <c r="A192"/>
    </row>
    <row r="193" spans="1:1" s="15" customFormat="1" x14ac:dyDescent="0.2">
      <c r="A193"/>
    </row>
    <row r="194" spans="1:1" s="15" customFormat="1" x14ac:dyDescent="0.2">
      <c r="A194"/>
    </row>
    <row r="195" spans="1:1" s="15" customFormat="1" x14ac:dyDescent="0.2">
      <c r="A195"/>
    </row>
    <row r="196" spans="1:1" s="15" customFormat="1" x14ac:dyDescent="0.2">
      <c r="A196"/>
    </row>
    <row r="197" spans="1:1" s="15" customFormat="1" x14ac:dyDescent="0.2">
      <c r="A197"/>
    </row>
    <row r="198" spans="1:1" s="15" customFormat="1" x14ac:dyDescent="0.2">
      <c r="A198"/>
    </row>
    <row r="199" spans="1:1" s="15" customFormat="1" x14ac:dyDescent="0.2">
      <c r="A199"/>
    </row>
    <row r="200" spans="1:1" s="15" customFormat="1" x14ac:dyDescent="0.2">
      <c r="A200"/>
    </row>
    <row r="201" spans="1:1" s="15" customFormat="1" x14ac:dyDescent="0.2">
      <c r="A201"/>
    </row>
    <row r="202" spans="1:1" s="15" customFormat="1" x14ac:dyDescent="0.2">
      <c r="A202"/>
    </row>
    <row r="203" spans="1:1" s="15" customFormat="1" x14ac:dyDescent="0.2">
      <c r="A203"/>
    </row>
    <row r="204" spans="1:1" s="15" customFormat="1" x14ac:dyDescent="0.2">
      <c r="A204"/>
    </row>
    <row r="205" spans="1:1" s="15" customFormat="1" x14ac:dyDescent="0.2">
      <c r="A205"/>
    </row>
    <row r="206" spans="1:1" s="15" customFormat="1" x14ac:dyDescent="0.2">
      <c r="A206"/>
    </row>
    <row r="207" spans="1:1" s="15" customFormat="1" x14ac:dyDescent="0.2">
      <c r="A207"/>
    </row>
    <row r="208" spans="1:1" s="15" customFormat="1" x14ac:dyDescent="0.2">
      <c r="A208"/>
    </row>
    <row r="209" spans="1:1" s="15" customFormat="1" x14ac:dyDescent="0.2">
      <c r="A209"/>
    </row>
    <row r="210" spans="1:1" s="15" customFormat="1" x14ac:dyDescent="0.2">
      <c r="A210"/>
    </row>
    <row r="211" spans="1:1" s="15" customFormat="1" x14ac:dyDescent="0.2">
      <c r="A211"/>
    </row>
    <row r="212" spans="1:1" s="15" customFormat="1" x14ac:dyDescent="0.2">
      <c r="A212"/>
    </row>
    <row r="213" spans="1:1" s="15" customFormat="1" x14ac:dyDescent="0.2">
      <c r="A213"/>
    </row>
    <row r="214" spans="1:1" s="15" customFormat="1" x14ac:dyDescent="0.2">
      <c r="A214"/>
    </row>
    <row r="215" spans="1:1" s="15" customFormat="1" x14ac:dyDescent="0.2">
      <c r="A215"/>
    </row>
    <row r="216" spans="1:1" s="15" customFormat="1" x14ac:dyDescent="0.2">
      <c r="A216"/>
    </row>
    <row r="217" spans="1:1" s="15" customFormat="1" x14ac:dyDescent="0.2">
      <c r="A217"/>
    </row>
    <row r="218" spans="1:1" s="15" customFormat="1" x14ac:dyDescent="0.2">
      <c r="A218"/>
    </row>
    <row r="219" spans="1:1" s="15" customFormat="1" x14ac:dyDescent="0.2">
      <c r="A219"/>
    </row>
    <row r="220" spans="1:1" s="15" customFormat="1" x14ac:dyDescent="0.2">
      <c r="A220"/>
    </row>
    <row r="221" spans="1:1" s="15" customFormat="1" x14ac:dyDescent="0.2">
      <c r="A221"/>
    </row>
    <row r="222" spans="1:1" s="15" customFormat="1" x14ac:dyDescent="0.2">
      <c r="A222"/>
    </row>
    <row r="223" spans="1:1" s="15" customFormat="1" x14ac:dyDescent="0.2">
      <c r="A223"/>
    </row>
    <row r="224" spans="1:1" s="15" customFormat="1" x14ac:dyDescent="0.2">
      <c r="A224"/>
    </row>
    <row r="225" spans="1:1" s="15" customFormat="1" x14ac:dyDescent="0.2">
      <c r="A225"/>
    </row>
    <row r="226" spans="1:1" s="15" customFormat="1" x14ac:dyDescent="0.2">
      <c r="A226"/>
    </row>
    <row r="227" spans="1:1" s="15" customFormat="1" x14ac:dyDescent="0.2">
      <c r="A227"/>
    </row>
    <row r="228" spans="1:1" s="15" customFormat="1" x14ac:dyDescent="0.2">
      <c r="A228"/>
    </row>
    <row r="229" spans="1:1" s="15" customFormat="1" x14ac:dyDescent="0.2">
      <c r="A229"/>
    </row>
    <row r="230" spans="1:1" s="15" customFormat="1" x14ac:dyDescent="0.2">
      <c r="A230"/>
    </row>
    <row r="231" spans="1:1" s="15" customFormat="1" x14ac:dyDescent="0.2">
      <c r="A231"/>
    </row>
    <row r="232" spans="1:1" s="15" customFormat="1" x14ac:dyDescent="0.2">
      <c r="A232"/>
    </row>
    <row r="233" spans="1:1" s="15" customFormat="1" x14ac:dyDescent="0.2">
      <c r="A233"/>
    </row>
    <row r="234" spans="1:1" s="15" customFormat="1" x14ac:dyDescent="0.2">
      <c r="A234"/>
    </row>
    <row r="235" spans="1:1" s="15" customFormat="1" x14ac:dyDescent="0.2">
      <c r="A235"/>
    </row>
    <row r="236" spans="1:1" s="15" customFormat="1" x14ac:dyDescent="0.2">
      <c r="A236"/>
    </row>
    <row r="237" spans="1:1" s="15" customFormat="1" x14ac:dyDescent="0.2">
      <c r="A237"/>
    </row>
    <row r="238" spans="1:1" s="15" customFormat="1" x14ac:dyDescent="0.2">
      <c r="A238"/>
    </row>
    <row r="239" spans="1:1" s="15" customFormat="1" x14ac:dyDescent="0.2">
      <c r="A239"/>
    </row>
    <row r="240" spans="1:1" s="15" customFormat="1" x14ac:dyDescent="0.2">
      <c r="A240"/>
    </row>
    <row r="241" spans="1:1" s="15" customFormat="1" x14ac:dyDescent="0.2">
      <c r="A241"/>
    </row>
    <row r="242" spans="1:1" s="15" customFormat="1" x14ac:dyDescent="0.2">
      <c r="A242"/>
    </row>
    <row r="243" spans="1:1" s="15" customFormat="1" x14ac:dyDescent="0.2">
      <c r="A243"/>
    </row>
    <row r="244" spans="1:1" s="15" customFormat="1" x14ac:dyDescent="0.2">
      <c r="A244"/>
    </row>
    <row r="245" spans="1:1" s="15" customFormat="1" x14ac:dyDescent="0.2">
      <c r="A245"/>
    </row>
    <row r="246" spans="1:1" s="15" customFormat="1" x14ac:dyDescent="0.2">
      <c r="A246"/>
    </row>
    <row r="247" spans="1:1" s="15" customFormat="1" x14ac:dyDescent="0.2">
      <c r="A247"/>
    </row>
    <row r="248" spans="1:1" s="15" customFormat="1" x14ac:dyDescent="0.2">
      <c r="A248"/>
    </row>
    <row r="249" spans="1:1" s="15" customFormat="1" x14ac:dyDescent="0.2">
      <c r="A249"/>
    </row>
    <row r="250" spans="1:1" s="15" customFormat="1" x14ac:dyDescent="0.2">
      <c r="A250"/>
    </row>
  </sheetData>
  <phoneticPr fontId="0" type="noConversion"/>
  <pageMargins left="0.75" right="0.75" top="1" bottom="1" header="0.5" footer="0.5"/>
  <pageSetup paperSize="9" orientation="portrait" horizontalDpi="4294967292"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Line="0" autoPict="0" macro="[0]!FolkAndWardMacro">
                <anchor moveWithCells="1" sizeWithCells="1">
                  <from>
                    <xdr:col>4</xdr:col>
                    <xdr:colOff>47625</xdr:colOff>
                    <xdr:row>3</xdr:row>
                    <xdr:rowOff>9525</xdr:rowOff>
                  </from>
                  <to>
                    <xdr:col>5</xdr:col>
                    <xdr:colOff>381000</xdr:colOff>
                    <xdr:row>7</xdr:row>
                    <xdr:rowOff>47625</xdr:rowOff>
                  </to>
                </anchor>
              </controlPr>
            </control>
          </mc:Choice>
        </mc:AlternateContent>
        <mc:AlternateContent xmlns:mc="http://schemas.openxmlformats.org/markup-compatibility/2006">
          <mc:Choice Requires="x14">
            <control shapeId="1026" r:id="rId5" name="Button 2">
              <controlPr defaultSize="0" print="0" autoFill="0" autoLine="0" autoPict="0" macro="[0]!HalfPhiInput">
                <anchor moveWithCells="1" sizeWithCells="1">
                  <from>
                    <xdr:col>7</xdr:col>
                    <xdr:colOff>247650</xdr:colOff>
                    <xdr:row>3</xdr:row>
                    <xdr:rowOff>19050</xdr:rowOff>
                  </from>
                  <to>
                    <xdr:col>9</xdr:col>
                    <xdr:colOff>352425</xdr:colOff>
                    <xdr:row>4</xdr:row>
                    <xdr:rowOff>142875</xdr:rowOff>
                  </to>
                </anchor>
              </controlPr>
            </control>
          </mc:Choice>
        </mc:AlternateContent>
        <mc:AlternateContent xmlns:mc="http://schemas.openxmlformats.org/markup-compatibility/2006">
          <mc:Choice Requires="x14">
            <control shapeId="1027" r:id="rId6" name="Button 3">
              <controlPr defaultSize="0" print="0" autoFill="0" autoLine="0" autoPict="0" macro="[0]!QuarterPhiInput">
                <anchor moveWithCells="1" sizeWithCells="1">
                  <from>
                    <xdr:col>7</xdr:col>
                    <xdr:colOff>247650</xdr:colOff>
                    <xdr:row>5</xdr:row>
                    <xdr:rowOff>85725</xdr:rowOff>
                  </from>
                  <to>
                    <xdr:col>9</xdr:col>
                    <xdr:colOff>342900</xdr:colOff>
                    <xdr:row>7</xdr:row>
                    <xdr:rowOff>19050</xdr:rowOff>
                  </to>
                </anchor>
              </controlPr>
            </control>
          </mc:Choice>
        </mc:AlternateContent>
        <mc:AlternateContent xmlns:mc="http://schemas.openxmlformats.org/markup-compatibility/2006">
          <mc:Choice Requires="x14">
            <control shapeId="1028" r:id="rId7" name="Button 4">
              <controlPr defaultSize="0" print="0" autoFill="0" autoLine="0" autoPict="0" macro="[0]!LS230Input">
                <anchor moveWithCells="1" sizeWithCells="1">
                  <from>
                    <xdr:col>7</xdr:col>
                    <xdr:colOff>257175</xdr:colOff>
                    <xdr:row>7</xdr:row>
                    <xdr:rowOff>104775</xdr:rowOff>
                  </from>
                  <to>
                    <xdr:col>9</xdr:col>
                    <xdr:colOff>352425</xdr:colOff>
                    <xdr:row>9</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HV56"/>
  <sheetViews>
    <sheetView showGridLines="0" workbookViewId="0">
      <selection activeCell="Q1" sqref="Q1"/>
    </sheetView>
  </sheetViews>
  <sheetFormatPr defaultRowHeight="12.75" x14ac:dyDescent="0.2"/>
  <cols>
    <col min="1" max="1" width="14.140625" style="4" customWidth="1"/>
    <col min="2" max="2" width="3.5703125" style="4" customWidth="1"/>
    <col min="3" max="3" width="6" style="4" customWidth="1"/>
    <col min="4" max="4" width="5.5703125" style="4" customWidth="1"/>
    <col min="5" max="5" width="2.28515625" style="4" customWidth="1"/>
    <col min="6" max="6" width="7.7109375" style="4" customWidth="1"/>
    <col min="7" max="7" width="11.85546875" style="4" customWidth="1"/>
    <col min="8" max="8" width="3" style="4" customWidth="1"/>
    <col min="9" max="10" width="3.5703125" style="4" customWidth="1"/>
    <col min="11" max="11" width="4" style="4" customWidth="1"/>
    <col min="12" max="12" width="1.28515625" style="4" customWidth="1"/>
    <col min="13" max="13" width="4.85546875" style="4" customWidth="1"/>
    <col min="14" max="14" width="10" style="4" customWidth="1"/>
    <col min="15" max="15" width="10.7109375" style="4" customWidth="1"/>
    <col min="16" max="16" width="9.140625" style="4"/>
    <col min="17" max="17" width="17.85546875" style="4" bestFit="1" customWidth="1"/>
    <col min="18" max="16384" width="9.140625" style="4"/>
  </cols>
  <sheetData>
    <row r="1" spans="1:230" ht="6" customHeight="1" x14ac:dyDescent="0.2">
      <c r="A1" s="224"/>
      <c r="B1" s="225"/>
      <c r="C1" s="225"/>
      <c r="D1" s="225"/>
      <c r="E1" s="225"/>
      <c r="F1" s="225"/>
      <c r="G1" s="225"/>
      <c r="H1" s="225"/>
      <c r="I1" s="225"/>
      <c r="J1" s="225"/>
      <c r="K1" s="225"/>
      <c r="L1" s="225"/>
      <c r="M1" s="225"/>
      <c r="N1" s="225"/>
      <c r="O1" s="251"/>
    </row>
    <row r="2" spans="1:230" ht="19.5" customHeight="1" x14ac:dyDescent="0.2">
      <c r="A2" s="258"/>
      <c r="B2" s="280"/>
      <c r="C2" s="286"/>
      <c r="D2" s="286"/>
      <c r="E2" s="106"/>
      <c r="F2" s="279" t="s">
        <v>200</v>
      </c>
      <c r="G2" s="106"/>
      <c r="H2" s="106"/>
      <c r="I2" s="106"/>
      <c r="J2" s="106"/>
      <c r="K2" s="106"/>
      <c r="L2" s="106"/>
      <c r="M2" s="106"/>
      <c r="N2" s="106"/>
      <c r="O2" s="278"/>
    </row>
    <row r="3" spans="1:230" ht="22.5" customHeight="1" x14ac:dyDescent="0.2">
      <c r="A3" s="226"/>
      <c r="B3" s="227" t="s">
        <v>77</v>
      </c>
      <c r="C3" s="228"/>
      <c r="D3" s="13"/>
      <c r="E3" s="13"/>
      <c r="F3" s="228"/>
      <c r="G3" s="229"/>
      <c r="H3" s="229"/>
      <c r="I3" s="229"/>
      <c r="J3" s="229"/>
      <c r="K3" s="13"/>
      <c r="L3" s="284" t="s">
        <v>207</v>
      </c>
      <c r="M3" s="260" t="s">
        <v>206</v>
      </c>
      <c r="O3" s="252"/>
    </row>
    <row r="4" spans="1:230" ht="14.1" customHeight="1" x14ac:dyDescent="0.2">
      <c r="A4" s="226"/>
      <c r="B4" s="227" t="s">
        <v>78</v>
      </c>
      <c r="C4" s="231"/>
      <c r="D4" s="13"/>
      <c r="E4" s="13"/>
      <c r="F4" s="230"/>
      <c r="G4" s="229"/>
      <c r="H4" s="229"/>
      <c r="I4" s="229"/>
      <c r="J4" s="229"/>
      <c r="K4" s="230"/>
      <c r="L4" s="227" t="s">
        <v>79</v>
      </c>
      <c r="M4" s="231"/>
      <c r="O4" s="253"/>
    </row>
    <row r="5" spans="1:230" ht="13.5" customHeight="1" x14ac:dyDescent="0.2">
      <c r="A5" s="226"/>
      <c r="B5" s="227" t="s">
        <v>80</v>
      </c>
      <c r="C5" s="231"/>
      <c r="D5" s="13"/>
      <c r="E5" s="13"/>
      <c r="F5" s="231"/>
      <c r="G5" s="229"/>
      <c r="H5" s="229"/>
      <c r="I5" s="229"/>
      <c r="J5" s="229"/>
      <c r="K5" s="230"/>
      <c r="L5" s="230"/>
      <c r="M5" s="13"/>
      <c r="N5" s="13"/>
      <c r="O5" s="253"/>
    </row>
    <row r="6" spans="1:230" ht="9" customHeight="1" x14ac:dyDescent="0.2">
      <c r="A6" s="226"/>
      <c r="B6" s="229"/>
      <c r="C6" s="230"/>
      <c r="D6" s="230"/>
      <c r="E6" s="230"/>
      <c r="F6" s="231"/>
      <c r="G6" s="13"/>
      <c r="H6" s="229"/>
      <c r="I6" s="229"/>
      <c r="J6" s="229"/>
      <c r="K6" s="13"/>
      <c r="L6" s="13"/>
      <c r="M6" s="13"/>
      <c r="N6" s="13"/>
      <c r="O6" s="253"/>
    </row>
    <row r="7" spans="1:230" ht="14.1" customHeight="1" x14ac:dyDescent="0.2">
      <c r="A7" s="254"/>
      <c r="B7" s="313" t="s">
        <v>178</v>
      </c>
      <c r="C7" s="314"/>
      <c r="D7" s="320" t="s">
        <v>10</v>
      </c>
      <c r="E7" s="320"/>
      <c r="F7" s="13"/>
      <c r="G7" s="249"/>
      <c r="H7" s="249"/>
      <c r="I7" s="249"/>
      <c r="J7" s="249"/>
      <c r="K7" s="249"/>
      <c r="L7" s="249"/>
      <c r="M7" s="249"/>
      <c r="N7" s="250" t="s">
        <v>187</v>
      </c>
      <c r="O7" s="255"/>
    </row>
    <row r="8" spans="1:230" ht="14.1" customHeight="1" x14ac:dyDescent="0.2">
      <c r="A8" s="256" t="s">
        <v>11</v>
      </c>
      <c r="B8" s="315"/>
      <c r="C8" s="310"/>
      <c r="D8" s="310"/>
      <c r="E8" s="310"/>
      <c r="F8" s="13"/>
      <c r="H8" s="13"/>
      <c r="I8" s="233" t="s">
        <v>12</v>
      </c>
      <c r="J8" s="289"/>
      <c r="K8" s="289"/>
      <c r="L8" s="235"/>
      <c r="M8" s="13"/>
      <c r="N8" s="236" t="s">
        <v>18</v>
      </c>
      <c r="O8" s="257"/>
    </row>
    <row r="9" spans="1:230" ht="14.1" customHeight="1" x14ac:dyDescent="0.2">
      <c r="A9" s="256" t="s">
        <v>13</v>
      </c>
      <c r="B9" s="316"/>
      <c r="C9" s="297"/>
      <c r="D9" s="296"/>
      <c r="E9" s="296"/>
      <c r="F9" s="13"/>
      <c r="H9" s="13"/>
      <c r="I9" s="233" t="s">
        <v>14</v>
      </c>
      <c r="J9" s="290"/>
      <c r="K9" s="290"/>
      <c r="L9" s="235"/>
      <c r="M9" s="13"/>
      <c r="N9" s="238" t="s">
        <v>19</v>
      </c>
      <c r="O9" s="257"/>
    </row>
    <row r="10" spans="1:230" ht="14.1" customHeight="1" x14ac:dyDescent="0.2">
      <c r="A10" s="256" t="s">
        <v>15</v>
      </c>
      <c r="B10" s="316"/>
      <c r="C10" s="296"/>
      <c r="D10" s="296"/>
      <c r="E10" s="296"/>
      <c r="F10" s="13"/>
      <c r="H10" s="13"/>
      <c r="I10" s="233" t="s">
        <v>16</v>
      </c>
      <c r="J10" s="291"/>
      <c r="K10" s="291"/>
      <c r="L10" s="239"/>
      <c r="M10" s="13"/>
      <c r="N10" s="240" t="s">
        <v>20</v>
      </c>
      <c r="O10" s="257"/>
      <c r="X10" s="95"/>
      <c r="HV10" s="95"/>
    </row>
    <row r="11" spans="1:230" ht="14.1" customHeight="1" x14ac:dyDescent="0.2">
      <c r="A11" s="256" t="s">
        <v>167</v>
      </c>
      <c r="B11" s="311"/>
      <c r="C11" s="297"/>
      <c r="D11" s="296"/>
      <c r="E11" s="296"/>
      <c r="F11" s="13"/>
      <c r="H11" s="13"/>
      <c r="I11" s="230"/>
      <c r="J11" s="230"/>
      <c r="L11" s="230"/>
      <c r="M11" s="13"/>
      <c r="N11" s="240" t="s">
        <v>75</v>
      </c>
      <c r="O11" s="257"/>
      <c r="X11" s="95"/>
      <c r="HV11" s="95"/>
    </row>
    <row r="12" spans="1:230" ht="14.1" customHeight="1" x14ac:dyDescent="0.2">
      <c r="A12" s="256" t="s">
        <v>168</v>
      </c>
      <c r="B12" s="316"/>
      <c r="C12" s="297"/>
      <c r="D12" s="296"/>
      <c r="E12" s="296"/>
      <c r="F12" s="13"/>
      <c r="H12" s="13"/>
      <c r="I12" s="240" t="s">
        <v>71</v>
      </c>
      <c r="J12" s="292"/>
      <c r="K12" s="292"/>
      <c r="L12" s="237"/>
      <c r="M12" s="13"/>
      <c r="N12" s="240" t="s">
        <v>73</v>
      </c>
      <c r="O12" s="257"/>
      <c r="X12" s="95"/>
      <c r="HV12" s="95"/>
    </row>
    <row r="13" spans="1:230" ht="14.1" customHeight="1" x14ac:dyDescent="0.2">
      <c r="A13" s="256" t="s">
        <v>169</v>
      </c>
      <c r="B13" s="317"/>
      <c r="C13" s="297"/>
      <c r="D13" s="296"/>
      <c r="E13" s="296"/>
      <c r="F13" s="13"/>
      <c r="H13" s="13"/>
      <c r="I13" s="240" t="s">
        <v>72</v>
      </c>
      <c r="J13" s="292"/>
      <c r="K13" s="292"/>
      <c r="L13" s="237"/>
      <c r="M13" s="13"/>
      <c r="N13" s="240" t="s">
        <v>74</v>
      </c>
      <c r="O13" s="257"/>
      <c r="X13" s="95"/>
      <c r="HV13" s="95"/>
    </row>
    <row r="14" spans="1:230" ht="14.1" customHeight="1" x14ac:dyDescent="0.2">
      <c r="A14" s="256" t="s">
        <v>170</v>
      </c>
      <c r="B14" s="316"/>
      <c r="C14" s="297"/>
      <c r="D14" s="296"/>
      <c r="E14" s="297"/>
      <c r="F14" s="13"/>
      <c r="H14" s="13"/>
      <c r="I14" s="236" t="s">
        <v>179</v>
      </c>
      <c r="J14" s="292"/>
      <c r="K14" s="292"/>
      <c r="L14" s="245"/>
      <c r="M14" s="13"/>
      <c r="N14" s="240" t="s">
        <v>183</v>
      </c>
      <c r="O14" s="257"/>
      <c r="HV14" s="95"/>
    </row>
    <row r="15" spans="1:230" ht="14.1" customHeight="1" x14ac:dyDescent="0.2">
      <c r="A15" s="256" t="s">
        <v>171</v>
      </c>
      <c r="B15" s="317"/>
      <c r="C15" s="318"/>
      <c r="D15" s="296"/>
      <c r="E15" s="296"/>
      <c r="F15" s="13"/>
      <c r="H15" s="13"/>
      <c r="I15" s="244" t="s">
        <v>180</v>
      </c>
      <c r="J15" s="292"/>
      <c r="K15" s="292"/>
      <c r="L15" s="245"/>
      <c r="M15" s="13"/>
      <c r="N15" s="240" t="s">
        <v>184</v>
      </c>
      <c r="O15" s="257"/>
      <c r="HV15" s="95"/>
    </row>
    <row r="16" spans="1:230" ht="14.1" customHeight="1" x14ac:dyDescent="0.2">
      <c r="A16" s="256" t="s">
        <v>193</v>
      </c>
      <c r="B16" s="324"/>
      <c r="C16" s="294"/>
      <c r="D16" s="295"/>
      <c r="E16" s="294"/>
      <c r="F16" s="13"/>
      <c r="H16" s="13"/>
      <c r="I16" s="244" t="s">
        <v>181</v>
      </c>
      <c r="J16" s="292"/>
      <c r="K16" s="292"/>
      <c r="L16" s="245"/>
      <c r="M16" s="13"/>
      <c r="N16" s="240" t="s">
        <v>185</v>
      </c>
      <c r="O16" s="257"/>
      <c r="HV16" s="95"/>
    </row>
    <row r="17" spans="1:230" ht="14.1" customHeight="1" x14ac:dyDescent="0.2">
      <c r="A17" s="256" t="s">
        <v>192</v>
      </c>
      <c r="B17" s="293"/>
      <c r="C17" s="294"/>
      <c r="D17" s="295"/>
      <c r="E17" s="294"/>
      <c r="F17" s="13"/>
      <c r="H17" s="13"/>
      <c r="I17" s="244" t="s">
        <v>182</v>
      </c>
      <c r="J17" s="292"/>
      <c r="K17" s="292"/>
      <c r="L17" s="237"/>
      <c r="M17" s="13"/>
      <c r="N17" s="240" t="s">
        <v>186</v>
      </c>
      <c r="O17" s="257"/>
      <c r="HV17" s="95"/>
    </row>
    <row r="18" spans="1:230" ht="14.1" customHeight="1" x14ac:dyDescent="0.2">
      <c r="A18" s="258"/>
      <c r="B18" s="13"/>
      <c r="C18" s="13"/>
      <c r="D18" s="13"/>
      <c r="E18" s="13"/>
      <c r="F18" s="13"/>
      <c r="G18" s="13"/>
      <c r="H18" s="13"/>
      <c r="I18" s="13"/>
      <c r="J18" s="13"/>
      <c r="K18" s="13"/>
      <c r="L18" s="13"/>
      <c r="M18" s="13"/>
      <c r="N18" s="13"/>
      <c r="O18" s="253"/>
      <c r="Q18" s="218"/>
    </row>
    <row r="19" spans="1:230" ht="14.1" customHeight="1" x14ac:dyDescent="0.2">
      <c r="A19" s="226"/>
      <c r="B19" s="229"/>
      <c r="C19" s="319" t="s">
        <v>177</v>
      </c>
      <c r="D19" s="287"/>
      <c r="E19" s="287"/>
      <c r="F19" s="287"/>
      <c r="G19" s="287"/>
      <c r="H19" s="287" t="s">
        <v>132</v>
      </c>
      <c r="I19" s="287"/>
      <c r="J19" s="287"/>
      <c r="K19" s="287"/>
      <c r="L19" s="287"/>
      <c r="M19" s="287"/>
      <c r="N19" s="287"/>
      <c r="O19" s="288"/>
      <c r="P19" s="229"/>
    </row>
    <row r="20" spans="1:230" ht="14.1" customHeight="1" x14ac:dyDescent="0.2">
      <c r="A20" s="226"/>
      <c r="B20" s="229"/>
      <c r="C20" s="322" t="s">
        <v>133</v>
      </c>
      <c r="D20" s="323"/>
      <c r="E20" s="323" t="s">
        <v>134</v>
      </c>
      <c r="F20" s="323"/>
      <c r="G20" s="248" t="s">
        <v>120</v>
      </c>
      <c r="H20" s="300" t="s">
        <v>134</v>
      </c>
      <c r="I20" s="301"/>
      <c r="J20" s="301"/>
      <c r="K20" s="302" t="s">
        <v>120</v>
      </c>
      <c r="L20" s="303"/>
      <c r="M20" s="303"/>
      <c r="N20" s="298" t="s">
        <v>113</v>
      </c>
      <c r="O20" s="299"/>
      <c r="P20" s="229"/>
    </row>
    <row r="21" spans="1:230" ht="13.5" customHeight="1" x14ac:dyDescent="0.2">
      <c r="A21" s="232"/>
      <c r="B21" s="247"/>
      <c r="C21" s="306" t="s">
        <v>172</v>
      </c>
      <c r="D21" s="307"/>
      <c r="E21" s="307" t="s">
        <v>172</v>
      </c>
      <c r="F21" s="307"/>
      <c r="G21" s="241" t="s">
        <v>10</v>
      </c>
      <c r="H21" s="306" t="s">
        <v>172</v>
      </c>
      <c r="I21" s="307"/>
      <c r="J21" s="307"/>
      <c r="K21" s="304" t="s">
        <v>10</v>
      </c>
      <c r="L21" s="305"/>
      <c r="M21" s="305"/>
      <c r="N21" s="249"/>
      <c r="O21" s="255"/>
      <c r="P21" s="229"/>
    </row>
    <row r="22" spans="1:230" ht="14.1" customHeight="1" x14ac:dyDescent="0.2">
      <c r="A22" s="226"/>
      <c r="B22" s="234" t="s">
        <v>146</v>
      </c>
      <c r="C22" s="317">
        <v>0</v>
      </c>
      <c r="D22" s="296"/>
      <c r="E22" s="321">
        <v>1</v>
      </c>
      <c r="F22" s="310"/>
      <c r="G22" s="242">
        <v>0</v>
      </c>
      <c r="H22" s="308"/>
      <c r="I22" s="309"/>
      <c r="J22" s="309"/>
      <c r="K22" s="310"/>
      <c r="L22" s="310"/>
      <c r="M22" s="310"/>
      <c r="N22" s="298"/>
      <c r="O22" s="299"/>
      <c r="P22" s="229"/>
    </row>
    <row r="23" spans="1:230" ht="14.1" customHeight="1" x14ac:dyDescent="0.2">
      <c r="A23" s="226"/>
      <c r="B23" s="234" t="s">
        <v>173</v>
      </c>
      <c r="C23" s="317">
        <v>0</v>
      </c>
      <c r="D23" s="296"/>
      <c r="E23" s="296">
        <v>1</v>
      </c>
      <c r="F23" s="296"/>
      <c r="G23" s="243">
        <v>0</v>
      </c>
      <c r="H23" s="311"/>
      <c r="I23" s="312"/>
      <c r="J23" s="312"/>
      <c r="K23" s="296"/>
      <c r="L23" s="296"/>
      <c r="M23" s="296"/>
      <c r="N23" s="298"/>
      <c r="O23" s="299"/>
      <c r="P23" s="229"/>
    </row>
    <row r="24" spans="1:230" ht="14.1" customHeight="1" x14ac:dyDescent="0.2">
      <c r="A24" s="226"/>
      <c r="B24" s="234" t="s">
        <v>174</v>
      </c>
      <c r="C24" s="311" t="e">
        <v>#DIV/0!</v>
      </c>
      <c r="D24" s="296"/>
      <c r="E24" s="296" t="e">
        <v>#DIV/0!</v>
      </c>
      <c r="F24" s="296"/>
      <c r="G24" s="243" t="e">
        <v>#DIV/0!</v>
      </c>
      <c r="H24" s="311"/>
      <c r="I24" s="312"/>
      <c r="J24" s="312"/>
      <c r="K24" s="296"/>
      <c r="L24" s="296"/>
      <c r="M24" s="296"/>
      <c r="N24" s="298"/>
      <c r="O24" s="299"/>
      <c r="P24" s="229"/>
    </row>
    <row r="25" spans="1:230" ht="14.1" customHeight="1" x14ac:dyDescent="0.2">
      <c r="A25" s="226"/>
      <c r="B25" s="234" t="s">
        <v>175</v>
      </c>
      <c r="C25" s="311" t="e">
        <v>#DIV/0!</v>
      </c>
      <c r="D25" s="296"/>
      <c r="E25" s="296" t="e">
        <v>#DIV/0!</v>
      </c>
      <c r="F25" s="296"/>
      <c r="G25" s="243" t="e">
        <v>#DIV/0!</v>
      </c>
      <c r="H25" s="311"/>
      <c r="I25" s="312"/>
      <c r="J25" s="312"/>
      <c r="K25" s="296"/>
      <c r="L25" s="296"/>
      <c r="M25" s="296"/>
      <c r="N25" s="298"/>
      <c r="O25" s="299"/>
      <c r="P25" s="229"/>
    </row>
    <row r="26" spans="1:230" ht="6" customHeight="1" x14ac:dyDescent="0.2">
      <c r="A26" s="220"/>
      <c r="B26" s="221"/>
      <c r="C26" s="221"/>
      <c r="D26" s="222"/>
      <c r="E26" s="222"/>
      <c r="F26" s="222"/>
      <c r="G26" s="222"/>
      <c r="H26" s="222"/>
      <c r="I26" s="222"/>
      <c r="J26" s="222"/>
      <c r="K26" s="222"/>
      <c r="L26" s="222"/>
      <c r="M26" s="222"/>
      <c r="N26" s="222"/>
      <c r="O26" s="259"/>
      <c r="P26" s="229"/>
    </row>
    <row r="27" spans="1:230" x14ac:dyDescent="0.2">
      <c r="A27" s="13"/>
      <c r="B27" s="13"/>
      <c r="C27" s="13"/>
      <c r="D27" s="13"/>
      <c r="E27" s="13"/>
      <c r="F27" s="13"/>
      <c r="G27" s="13"/>
      <c r="H27" s="13"/>
      <c r="I27" s="13"/>
      <c r="J27" s="13"/>
      <c r="K27" s="13"/>
      <c r="L27" s="13"/>
      <c r="M27" s="13"/>
      <c r="N27" s="13"/>
      <c r="O27" s="13"/>
      <c r="P27" s="226"/>
    </row>
    <row r="56" ht="5.25" customHeight="1" x14ac:dyDescent="0.2"/>
  </sheetData>
  <mergeCells count="63">
    <mergeCell ref="B14:C14"/>
    <mergeCell ref="D11:E11"/>
    <mergeCell ref="D12:E12"/>
    <mergeCell ref="C24:D24"/>
    <mergeCell ref="C20:D20"/>
    <mergeCell ref="C21:D21"/>
    <mergeCell ref="C22:D22"/>
    <mergeCell ref="B16:C16"/>
    <mergeCell ref="E24:F24"/>
    <mergeCell ref="E20:F20"/>
    <mergeCell ref="E21:F21"/>
    <mergeCell ref="C25:D25"/>
    <mergeCell ref="B7:C7"/>
    <mergeCell ref="B8:C8"/>
    <mergeCell ref="B9:C9"/>
    <mergeCell ref="B10:C10"/>
    <mergeCell ref="B11:C11"/>
    <mergeCell ref="B12:C12"/>
    <mergeCell ref="B13:C13"/>
    <mergeCell ref="D17:E17"/>
    <mergeCell ref="C23:D23"/>
    <mergeCell ref="B15:C15"/>
    <mergeCell ref="C19:G19"/>
    <mergeCell ref="D7:E7"/>
    <mergeCell ref="D8:E8"/>
    <mergeCell ref="D9:E9"/>
    <mergeCell ref="E22:F22"/>
    <mergeCell ref="E25:F25"/>
    <mergeCell ref="H23:J23"/>
    <mergeCell ref="H24:J24"/>
    <mergeCell ref="H25:J25"/>
    <mergeCell ref="N25:O25"/>
    <mergeCell ref="N24:O24"/>
    <mergeCell ref="K24:M24"/>
    <mergeCell ref="K25:M25"/>
    <mergeCell ref="E23:F23"/>
    <mergeCell ref="N20:O20"/>
    <mergeCell ref="N22:O22"/>
    <mergeCell ref="N23:O23"/>
    <mergeCell ref="J17:K17"/>
    <mergeCell ref="H20:J20"/>
    <mergeCell ref="K20:M20"/>
    <mergeCell ref="K21:M21"/>
    <mergeCell ref="H21:J21"/>
    <mergeCell ref="K23:M23"/>
    <mergeCell ref="H22:J22"/>
    <mergeCell ref="K22:M22"/>
    <mergeCell ref="C2:D2"/>
    <mergeCell ref="H19:O19"/>
    <mergeCell ref="J8:K8"/>
    <mergeCell ref="J9:K9"/>
    <mergeCell ref="J10:K10"/>
    <mergeCell ref="J12:K12"/>
    <mergeCell ref="J13:K13"/>
    <mergeCell ref="B17:C17"/>
    <mergeCell ref="D16:E16"/>
    <mergeCell ref="D13:E13"/>
    <mergeCell ref="D14:E14"/>
    <mergeCell ref="D15:E15"/>
    <mergeCell ref="J14:K14"/>
    <mergeCell ref="J15:K15"/>
    <mergeCell ref="J16:K16"/>
    <mergeCell ref="D10:E10"/>
  </mergeCells>
  <phoneticPr fontId="0" type="noConversion"/>
  <pageMargins left="0.59055118110236227" right="0.59055118110236227" top="0.51181102362204722" bottom="0.59055118110236227" header="0.19685039370078741" footer="0.51181102362204722"/>
  <pageSetup paperSize="9" scale="98" orientation="portrait" horizontalDpi="4294967294" verticalDpi="300" r:id="rId1"/>
  <headerFooter alignWithMargins="0"/>
  <drawing r:id="rId2"/>
  <legacyDrawing r:id="rId3"/>
  <oleObjects>
    <mc:AlternateContent xmlns:mc="http://schemas.openxmlformats.org/markup-compatibility/2006">
      <mc:Choice Requires="x14">
        <oleObject progId="Equation.3" shapeId="2200" r:id="rId4">
          <objectPr defaultSize="0" r:id="rId5">
            <anchor moveWithCells="1">
              <from>
                <xdr:col>1</xdr:col>
                <xdr:colOff>0</xdr:colOff>
                <xdr:row>21</xdr:row>
                <xdr:rowOff>0</xdr:rowOff>
              </from>
              <to>
                <xdr:col>1</xdr:col>
                <xdr:colOff>219075</xdr:colOff>
                <xdr:row>22</xdr:row>
                <xdr:rowOff>19050</xdr:rowOff>
              </to>
            </anchor>
          </objectPr>
        </oleObject>
      </mc:Choice>
      <mc:Fallback>
        <oleObject progId="Equation.3" shapeId="2200"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O1056"/>
  <sheetViews>
    <sheetView workbookViewId="0"/>
  </sheetViews>
  <sheetFormatPr defaultColWidth="12.7109375" defaultRowHeight="12.75" x14ac:dyDescent="0.2"/>
  <cols>
    <col min="1" max="1" width="4" customWidth="1"/>
    <col min="2" max="2" width="18.85546875" customWidth="1"/>
  </cols>
  <sheetData>
    <row r="1" spans="1:171" ht="18" x14ac:dyDescent="0.25">
      <c r="B1" s="19" t="s">
        <v>59</v>
      </c>
      <c r="C1" s="19"/>
      <c r="D1" s="19"/>
      <c r="F1" t="s">
        <v>66</v>
      </c>
    </row>
    <row r="2" spans="1:171" ht="12.75" customHeight="1" x14ac:dyDescent="0.2">
      <c r="D2" s="12"/>
      <c r="F2" t="s">
        <v>67</v>
      </c>
    </row>
    <row r="3" spans="1:171" ht="87.75" customHeight="1" x14ac:dyDescent="0.2">
      <c r="B3" s="12"/>
      <c r="C3" s="31"/>
      <c r="D3" s="12"/>
      <c r="E3" s="25"/>
      <c r="F3" s="24"/>
      <c r="G3" s="24"/>
    </row>
    <row r="4" spans="1:171" ht="13.5" thickBot="1" x14ac:dyDescent="0.25">
      <c r="B4" s="12"/>
      <c r="D4" s="12"/>
    </row>
    <row r="5" spans="1:171" x14ac:dyDescent="0.2">
      <c r="B5" s="33" t="s">
        <v>198</v>
      </c>
      <c r="C5" s="38" t="s">
        <v>64</v>
      </c>
    </row>
    <row r="6" spans="1:171" x14ac:dyDescent="0.2">
      <c r="B6" s="34" t="s">
        <v>147</v>
      </c>
      <c r="C6" s="32"/>
    </row>
    <row r="7" spans="1:171" s="37" customFormat="1" ht="12.75" customHeight="1" x14ac:dyDescent="0.2">
      <c r="A7"/>
      <c r="B7" s="46" t="s">
        <v>1</v>
      </c>
      <c r="C7" s="276"/>
    </row>
    <row r="8" spans="1:171" s="41" customFormat="1" x14ac:dyDescent="0.2">
      <c r="A8"/>
      <c r="B8" s="46" t="s">
        <v>2</v>
      </c>
      <c r="D8" s="43"/>
      <c r="E8" s="42"/>
      <c r="F8" s="42"/>
    </row>
    <row r="9" spans="1:171" s="94" customFormat="1" x14ac:dyDescent="0.2">
      <c r="A9"/>
      <c r="B9" s="47" t="s">
        <v>3</v>
      </c>
      <c r="C9" s="89"/>
      <c r="D9" s="87"/>
      <c r="E9" s="88"/>
      <c r="F9" s="88"/>
      <c r="G9" s="89"/>
      <c r="H9" s="89"/>
      <c r="I9" s="89"/>
      <c r="J9" s="89"/>
      <c r="K9" s="89"/>
      <c r="L9" s="89"/>
      <c r="M9" s="89"/>
      <c r="N9" s="89"/>
      <c r="O9" s="89"/>
      <c r="P9" s="89"/>
      <c r="Q9" s="89"/>
      <c r="R9" s="89"/>
      <c r="S9" s="89"/>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c r="AX9" s="89"/>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c r="DR9" s="89"/>
      <c r="DS9" s="89"/>
      <c r="DT9" s="89"/>
      <c r="DU9" s="89"/>
      <c r="DV9" s="89"/>
      <c r="DW9" s="89"/>
      <c r="DX9" s="89"/>
      <c r="DY9" s="89"/>
      <c r="DZ9" s="89"/>
      <c r="EA9" s="89"/>
      <c r="EB9" s="89"/>
      <c r="EC9" s="89"/>
      <c r="ED9" s="89"/>
      <c r="EE9" s="89"/>
      <c r="EF9" s="89"/>
      <c r="EG9" s="89"/>
      <c r="EH9" s="89"/>
      <c r="EI9" s="89"/>
      <c r="EJ9" s="89"/>
      <c r="EK9" s="89"/>
      <c r="EL9" s="89"/>
      <c r="EM9" s="89"/>
      <c r="EN9" s="89"/>
      <c r="EO9" s="89"/>
      <c r="EP9" s="89"/>
      <c r="EQ9" s="89"/>
      <c r="ER9" s="89"/>
      <c r="ES9" s="89"/>
      <c r="ET9" s="89"/>
      <c r="EU9" s="89"/>
      <c r="EV9" s="89"/>
      <c r="EW9" s="89"/>
      <c r="EX9" s="89"/>
      <c r="EY9" s="89"/>
      <c r="EZ9" s="89"/>
      <c r="FA9" s="89"/>
      <c r="FB9" s="89"/>
      <c r="FC9" s="89"/>
      <c r="FD9" s="89"/>
      <c r="FE9" s="89"/>
      <c r="FF9" s="89"/>
      <c r="FG9" s="89"/>
      <c r="FH9" s="89"/>
      <c r="FI9" s="89"/>
      <c r="FJ9" s="89"/>
      <c r="FK9" s="89"/>
      <c r="FL9" s="89"/>
      <c r="FM9" s="89"/>
      <c r="FN9" s="89"/>
      <c r="FO9" s="89"/>
    </row>
    <row r="10" spans="1:171" s="40" customFormat="1" ht="13.5" customHeight="1" thickBot="1" x14ac:dyDescent="0.25">
      <c r="A10"/>
      <c r="B10" s="47" t="s">
        <v>5</v>
      </c>
      <c r="D10" s="44"/>
      <c r="E10" s="45"/>
      <c r="F10" s="45"/>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c r="CL10" s="41"/>
      <c r="CM10" s="41"/>
      <c r="CN10" s="41"/>
      <c r="CO10" s="41"/>
      <c r="CP10" s="41"/>
      <c r="CQ10" s="41"/>
      <c r="CR10" s="41"/>
      <c r="CS10" s="41"/>
      <c r="CT10" s="41"/>
      <c r="CU10" s="41"/>
      <c r="CV10" s="41"/>
      <c r="CW10" s="41"/>
      <c r="CX10" s="41"/>
      <c r="CY10" s="41"/>
      <c r="CZ10" s="41"/>
      <c r="DA10" s="41"/>
      <c r="DB10" s="41"/>
      <c r="DC10" s="41"/>
      <c r="DD10" s="41"/>
      <c r="DE10" s="41"/>
      <c r="DF10" s="41"/>
      <c r="DG10" s="41"/>
      <c r="DH10" s="41"/>
      <c r="DI10" s="41"/>
      <c r="DJ10" s="41"/>
      <c r="DK10" s="41"/>
      <c r="DL10" s="41"/>
      <c r="DM10" s="41"/>
      <c r="DN10" s="41"/>
      <c r="DO10" s="41"/>
      <c r="DP10" s="41"/>
      <c r="DQ10" s="41"/>
      <c r="DR10" s="41"/>
      <c r="DS10" s="41"/>
      <c r="DT10" s="41"/>
      <c r="DU10" s="41"/>
      <c r="DV10" s="41"/>
      <c r="DW10" s="41"/>
      <c r="DX10" s="41"/>
      <c r="DY10" s="41"/>
      <c r="DZ10" s="41"/>
      <c r="EA10" s="41"/>
      <c r="EB10" s="41"/>
      <c r="EC10" s="41"/>
      <c r="ED10" s="41"/>
      <c r="EE10" s="41"/>
      <c r="EF10" s="41"/>
      <c r="EG10" s="41"/>
      <c r="EH10" s="41"/>
      <c r="EI10" s="41"/>
      <c r="EJ10" s="41"/>
      <c r="EK10" s="41"/>
      <c r="EL10" s="41"/>
      <c r="EM10" s="41"/>
      <c r="EN10" s="41"/>
      <c r="EO10" s="41"/>
      <c r="EP10" s="41"/>
      <c r="EQ10" s="41"/>
      <c r="ER10" s="41"/>
      <c r="ES10" s="41"/>
      <c r="ET10" s="41"/>
      <c r="EU10" s="41"/>
      <c r="EV10" s="41"/>
      <c r="EW10" s="41"/>
      <c r="EX10" s="41"/>
      <c r="EY10" s="41"/>
      <c r="EZ10" s="41"/>
      <c r="FA10" s="41"/>
      <c r="FB10" s="41"/>
      <c r="FC10" s="41"/>
      <c r="FD10" s="41"/>
      <c r="FE10" s="41"/>
      <c r="FF10" s="41"/>
      <c r="FG10" s="41"/>
      <c r="FH10" s="41"/>
      <c r="FI10" s="41"/>
      <c r="FJ10" s="41"/>
      <c r="FK10" s="41"/>
      <c r="FL10" s="41"/>
      <c r="FM10" s="41"/>
      <c r="FN10" s="41"/>
      <c r="FO10" s="41"/>
    </row>
    <row r="11" spans="1:171" s="15" customFormat="1" x14ac:dyDescent="0.2">
      <c r="A11"/>
      <c r="B11" s="271">
        <v>90000</v>
      </c>
      <c r="C11" s="39"/>
    </row>
    <row r="12" spans="1:171" s="15" customFormat="1" x14ac:dyDescent="0.2">
      <c r="A12"/>
      <c r="B12" s="211">
        <v>63000</v>
      </c>
      <c r="C12" s="36"/>
    </row>
    <row r="13" spans="1:171" s="15" customFormat="1" x14ac:dyDescent="0.2">
      <c r="A13"/>
      <c r="B13" s="211">
        <v>45000</v>
      </c>
      <c r="C13" s="36"/>
    </row>
    <row r="14" spans="1:171" s="15" customFormat="1" x14ac:dyDescent="0.2">
      <c r="A14"/>
      <c r="B14" s="211">
        <v>31500</v>
      </c>
      <c r="C14" s="36"/>
    </row>
    <row r="15" spans="1:171" s="15" customFormat="1" x14ac:dyDescent="0.2">
      <c r="A15"/>
      <c r="B15" s="211">
        <v>22400</v>
      </c>
      <c r="C15" s="36"/>
    </row>
    <row r="16" spans="1:171" s="15" customFormat="1" x14ac:dyDescent="0.2">
      <c r="A16"/>
      <c r="B16" s="211">
        <v>16000</v>
      </c>
      <c r="C16" s="36"/>
    </row>
    <row r="17" spans="1:3" s="15" customFormat="1" x14ac:dyDescent="0.2">
      <c r="A17"/>
      <c r="B17" s="211">
        <v>11200</v>
      </c>
      <c r="C17" s="36"/>
    </row>
    <row r="18" spans="1:3" s="15" customFormat="1" x14ac:dyDescent="0.2">
      <c r="A18"/>
      <c r="B18" s="211">
        <v>8000</v>
      </c>
      <c r="C18" s="36"/>
    </row>
    <row r="19" spans="1:3" s="15" customFormat="1" x14ac:dyDescent="0.2">
      <c r="A19"/>
      <c r="B19" s="211">
        <v>5600</v>
      </c>
      <c r="C19" s="36"/>
    </row>
    <row r="20" spans="1:3" s="15" customFormat="1" x14ac:dyDescent="0.2">
      <c r="A20"/>
      <c r="B20" s="211">
        <v>4000</v>
      </c>
      <c r="C20" s="36"/>
    </row>
    <row r="21" spans="1:3" s="15" customFormat="1" x14ac:dyDescent="0.2">
      <c r="A21"/>
      <c r="B21" s="211">
        <v>2800</v>
      </c>
      <c r="C21" s="36"/>
    </row>
    <row r="22" spans="1:3" s="15" customFormat="1" x14ac:dyDescent="0.2">
      <c r="A22"/>
      <c r="B22" s="211">
        <v>2000</v>
      </c>
      <c r="C22" s="36"/>
    </row>
    <row r="23" spans="1:3" s="15" customFormat="1" x14ac:dyDescent="0.2">
      <c r="A23"/>
      <c r="B23" s="211">
        <v>1400</v>
      </c>
      <c r="C23" s="36"/>
    </row>
    <row r="24" spans="1:3" s="15" customFormat="1" x14ac:dyDescent="0.2">
      <c r="A24"/>
      <c r="B24" s="211">
        <v>1000</v>
      </c>
      <c r="C24" s="36"/>
    </row>
    <row r="25" spans="1:3" s="15" customFormat="1" x14ac:dyDescent="0.2">
      <c r="A25"/>
      <c r="B25" s="211">
        <v>710</v>
      </c>
      <c r="C25" s="36"/>
    </row>
    <row r="26" spans="1:3" s="15" customFormat="1" x14ac:dyDescent="0.2">
      <c r="A26"/>
      <c r="B26" s="211">
        <v>500</v>
      </c>
      <c r="C26" s="36"/>
    </row>
    <row r="27" spans="1:3" s="15" customFormat="1" x14ac:dyDescent="0.2">
      <c r="A27"/>
      <c r="B27" s="211">
        <v>355</v>
      </c>
      <c r="C27" s="36"/>
    </row>
    <row r="28" spans="1:3" s="15" customFormat="1" x14ac:dyDescent="0.2">
      <c r="A28"/>
      <c r="B28" s="211">
        <v>250</v>
      </c>
      <c r="C28" s="36"/>
    </row>
    <row r="29" spans="1:3" s="15" customFormat="1" x14ac:dyDescent="0.2">
      <c r="A29"/>
      <c r="B29" s="211">
        <v>180</v>
      </c>
      <c r="C29" s="36"/>
    </row>
    <row r="30" spans="1:3" s="15" customFormat="1" x14ac:dyDescent="0.2">
      <c r="A30"/>
      <c r="B30" s="211">
        <v>125</v>
      </c>
      <c r="C30" s="36"/>
    </row>
    <row r="31" spans="1:3" s="15" customFormat="1" x14ac:dyDescent="0.2">
      <c r="A31"/>
      <c r="B31" s="211">
        <v>90</v>
      </c>
      <c r="C31" s="36"/>
    </row>
    <row r="32" spans="1:3" s="15" customFormat="1" x14ac:dyDescent="0.2">
      <c r="A32"/>
      <c r="B32" s="211">
        <v>63</v>
      </c>
      <c r="C32" s="36"/>
    </row>
    <row r="33" spans="1:3" s="15" customFormat="1" ht="13.5" thickBot="1" x14ac:dyDescent="0.25">
      <c r="A33"/>
      <c r="B33" s="270"/>
      <c r="C33" s="28"/>
    </row>
    <row r="34" spans="1:3" s="15" customFormat="1" x14ac:dyDescent="0.2">
      <c r="A34"/>
    </row>
    <row r="35" spans="1:3" s="15" customFormat="1" x14ac:dyDescent="0.2">
      <c r="A35"/>
    </row>
    <row r="36" spans="1:3" s="15" customFormat="1" x14ac:dyDescent="0.2">
      <c r="A36"/>
    </row>
    <row r="37" spans="1:3" s="15" customFormat="1" x14ac:dyDescent="0.2">
      <c r="A37"/>
    </row>
    <row r="38" spans="1:3" s="15" customFormat="1" x14ac:dyDescent="0.2">
      <c r="A38"/>
    </row>
    <row r="39" spans="1:3" s="15" customFormat="1" x14ac:dyDescent="0.2">
      <c r="A39"/>
    </row>
    <row r="40" spans="1:3" s="15" customFormat="1" x14ac:dyDescent="0.2">
      <c r="A40"/>
    </row>
    <row r="41" spans="1:3" s="15" customFormat="1" x14ac:dyDescent="0.2">
      <c r="A41"/>
    </row>
    <row r="42" spans="1:3" s="15" customFormat="1" x14ac:dyDescent="0.2">
      <c r="A42"/>
    </row>
    <row r="43" spans="1:3" s="15" customFormat="1" x14ac:dyDescent="0.2">
      <c r="A43"/>
    </row>
    <row r="44" spans="1:3" s="15" customFormat="1" x14ac:dyDescent="0.2">
      <c r="A44"/>
    </row>
    <row r="45" spans="1:3" s="15" customFormat="1" x14ac:dyDescent="0.2">
      <c r="A45"/>
    </row>
    <row r="46" spans="1:3" s="15" customFormat="1" x14ac:dyDescent="0.2">
      <c r="A46"/>
    </row>
    <row r="47" spans="1:3" s="15" customFormat="1" x14ac:dyDescent="0.2">
      <c r="A47"/>
    </row>
    <row r="48" spans="1:3" s="15" customFormat="1" x14ac:dyDescent="0.2">
      <c r="A48"/>
    </row>
    <row r="49" spans="1:1" s="15" customFormat="1" x14ac:dyDescent="0.2">
      <c r="A49"/>
    </row>
    <row r="50" spans="1:1" s="15" customFormat="1" x14ac:dyDescent="0.2">
      <c r="A50"/>
    </row>
    <row r="51" spans="1:1" s="15" customFormat="1" x14ac:dyDescent="0.2">
      <c r="A51"/>
    </row>
    <row r="52" spans="1:1" s="15" customFormat="1" x14ac:dyDescent="0.2">
      <c r="A52"/>
    </row>
    <row r="53" spans="1:1" s="15" customFormat="1" x14ac:dyDescent="0.2">
      <c r="A53"/>
    </row>
    <row r="54" spans="1:1" s="15" customFormat="1" x14ac:dyDescent="0.2">
      <c r="A54"/>
    </row>
    <row r="55" spans="1:1" s="15" customFormat="1" x14ac:dyDescent="0.2">
      <c r="A55"/>
    </row>
    <row r="56" spans="1:1" s="15" customFormat="1" x14ac:dyDescent="0.2">
      <c r="A56"/>
    </row>
    <row r="57" spans="1:1" s="15" customFormat="1" x14ac:dyDescent="0.2">
      <c r="A57"/>
    </row>
    <row r="58" spans="1:1" s="15" customFormat="1" x14ac:dyDescent="0.2">
      <c r="A58"/>
    </row>
    <row r="59" spans="1:1" s="15" customFormat="1" x14ac:dyDescent="0.2">
      <c r="A59"/>
    </row>
    <row r="60" spans="1:1" s="15" customFormat="1" x14ac:dyDescent="0.2">
      <c r="A60"/>
    </row>
    <row r="61" spans="1:1" s="15" customFormat="1" x14ac:dyDescent="0.2">
      <c r="A61"/>
    </row>
    <row r="62" spans="1:1" s="15" customFormat="1" x14ac:dyDescent="0.2">
      <c r="A62"/>
    </row>
    <row r="63" spans="1:1" s="15" customFormat="1" x14ac:dyDescent="0.2">
      <c r="A63"/>
    </row>
    <row r="64" spans="1:1" s="15" customFormat="1" x14ac:dyDescent="0.2">
      <c r="A64"/>
    </row>
    <row r="65" spans="1:1" s="15" customFormat="1" x14ac:dyDescent="0.2">
      <c r="A65"/>
    </row>
    <row r="66" spans="1:1" s="15" customFormat="1" x14ac:dyDescent="0.2">
      <c r="A66"/>
    </row>
    <row r="67" spans="1:1" s="15" customFormat="1" x14ac:dyDescent="0.2">
      <c r="A67"/>
    </row>
    <row r="68" spans="1:1" s="15" customFormat="1" x14ac:dyDescent="0.2">
      <c r="A68"/>
    </row>
    <row r="69" spans="1:1" s="15" customFormat="1" x14ac:dyDescent="0.2">
      <c r="A69"/>
    </row>
    <row r="70" spans="1:1" s="15" customFormat="1" x14ac:dyDescent="0.2">
      <c r="A70"/>
    </row>
    <row r="71" spans="1:1" s="15" customFormat="1" x14ac:dyDescent="0.2">
      <c r="A71"/>
    </row>
    <row r="72" spans="1:1" s="15" customFormat="1" x14ac:dyDescent="0.2">
      <c r="A72"/>
    </row>
    <row r="73" spans="1:1" s="15" customFormat="1" x14ac:dyDescent="0.2">
      <c r="A73"/>
    </row>
    <row r="74" spans="1:1" s="15" customFormat="1" x14ac:dyDescent="0.2">
      <c r="A74"/>
    </row>
    <row r="75" spans="1:1" s="15" customFormat="1" x14ac:dyDescent="0.2">
      <c r="A75"/>
    </row>
    <row r="76" spans="1:1" s="15" customFormat="1" x14ac:dyDescent="0.2">
      <c r="A76"/>
    </row>
    <row r="77" spans="1:1" s="15" customFormat="1" x14ac:dyDescent="0.2">
      <c r="A77"/>
    </row>
    <row r="78" spans="1:1" s="15" customFormat="1" x14ac:dyDescent="0.2">
      <c r="A78"/>
    </row>
    <row r="79" spans="1:1" s="15" customFormat="1" x14ac:dyDescent="0.2">
      <c r="A79"/>
    </row>
    <row r="80" spans="1:1" s="15" customFormat="1" x14ac:dyDescent="0.2">
      <c r="A80"/>
    </row>
    <row r="81" spans="1:1" s="15" customFormat="1" x14ac:dyDescent="0.2">
      <c r="A81"/>
    </row>
    <row r="82" spans="1:1" s="15" customFormat="1" x14ac:dyDescent="0.2">
      <c r="A82"/>
    </row>
    <row r="83" spans="1:1" s="15" customFormat="1" x14ac:dyDescent="0.2">
      <c r="A83"/>
    </row>
    <row r="84" spans="1:1" s="15" customFormat="1" x14ac:dyDescent="0.2">
      <c r="A84"/>
    </row>
    <row r="85" spans="1:1" s="15" customFormat="1" x14ac:dyDescent="0.2">
      <c r="A85"/>
    </row>
    <row r="86" spans="1:1" s="15" customFormat="1" x14ac:dyDescent="0.2">
      <c r="A86"/>
    </row>
    <row r="87" spans="1:1" s="15" customFormat="1" x14ac:dyDescent="0.2">
      <c r="A87"/>
    </row>
    <row r="88" spans="1:1" s="15" customFormat="1" x14ac:dyDescent="0.2">
      <c r="A88"/>
    </row>
    <row r="89" spans="1:1" s="15" customFormat="1" x14ac:dyDescent="0.2">
      <c r="A89"/>
    </row>
    <row r="90" spans="1:1" s="15" customFormat="1" x14ac:dyDescent="0.2">
      <c r="A90"/>
    </row>
    <row r="91" spans="1:1" s="15" customFormat="1" x14ac:dyDescent="0.2">
      <c r="A91"/>
    </row>
    <row r="92" spans="1:1" s="15" customFormat="1" x14ac:dyDescent="0.2">
      <c r="A92"/>
    </row>
    <row r="93" spans="1:1" s="15" customFormat="1" x14ac:dyDescent="0.2">
      <c r="A93"/>
    </row>
    <row r="94" spans="1:1" s="15" customFormat="1" x14ac:dyDescent="0.2">
      <c r="A94"/>
    </row>
    <row r="95" spans="1:1" s="15" customFormat="1" x14ac:dyDescent="0.2">
      <c r="A95"/>
    </row>
    <row r="96" spans="1:1" s="15" customFormat="1" x14ac:dyDescent="0.2">
      <c r="A96"/>
    </row>
    <row r="97" spans="1:1" s="15" customFormat="1" x14ac:dyDescent="0.2">
      <c r="A97"/>
    </row>
    <row r="98" spans="1:1" s="15" customFormat="1" x14ac:dyDescent="0.2">
      <c r="A98"/>
    </row>
    <row r="99" spans="1:1" s="15" customFormat="1" x14ac:dyDescent="0.2">
      <c r="A99"/>
    </row>
    <row r="100" spans="1:1" s="15" customFormat="1" x14ac:dyDescent="0.2">
      <c r="A100"/>
    </row>
    <row r="101" spans="1:1" s="15" customFormat="1" x14ac:dyDescent="0.2">
      <c r="A101"/>
    </row>
    <row r="102" spans="1:1" s="15" customFormat="1" x14ac:dyDescent="0.2">
      <c r="A102"/>
    </row>
    <row r="103" spans="1:1" s="15" customFormat="1" x14ac:dyDescent="0.2">
      <c r="A103"/>
    </row>
    <row r="104" spans="1:1" s="15" customFormat="1" x14ac:dyDescent="0.2">
      <c r="A104"/>
    </row>
    <row r="105" spans="1:1" s="15" customFormat="1" x14ac:dyDescent="0.2">
      <c r="A105"/>
    </row>
    <row r="106" spans="1:1" s="15" customFormat="1" x14ac:dyDescent="0.2">
      <c r="A106"/>
    </row>
    <row r="107" spans="1:1" s="15" customFormat="1" x14ac:dyDescent="0.2">
      <c r="A107"/>
    </row>
    <row r="108" spans="1:1" s="15" customFormat="1" x14ac:dyDescent="0.2">
      <c r="A108"/>
    </row>
    <row r="109" spans="1:1" s="15" customFormat="1" x14ac:dyDescent="0.2">
      <c r="A109"/>
    </row>
    <row r="110" spans="1:1" s="15" customFormat="1" x14ac:dyDescent="0.2">
      <c r="A110"/>
    </row>
    <row r="111" spans="1:1" s="15" customFormat="1" x14ac:dyDescent="0.2">
      <c r="A111"/>
    </row>
    <row r="112" spans="1:1" s="15" customFormat="1" x14ac:dyDescent="0.2">
      <c r="A112"/>
    </row>
    <row r="113" spans="1:1" s="15" customFormat="1" x14ac:dyDescent="0.2">
      <c r="A113"/>
    </row>
    <row r="114" spans="1:1" s="15" customFormat="1" x14ac:dyDescent="0.2">
      <c r="A114"/>
    </row>
    <row r="115" spans="1:1" s="15" customFormat="1" x14ac:dyDescent="0.2">
      <c r="A115"/>
    </row>
    <row r="116" spans="1:1" s="15" customFormat="1" x14ac:dyDescent="0.2">
      <c r="A116"/>
    </row>
    <row r="117" spans="1:1" s="15" customFormat="1" x14ac:dyDescent="0.2">
      <c r="A117"/>
    </row>
    <row r="118" spans="1:1" s="15" customFormat="1" x14ac:dyDescent="0.2">
      <c r="A118"/>
    </row>
    <row r="119" spans="1:1" s="15" customFormat="1" x14ac:dyDescent="0.2">
      <c r="A119"/>
    </row>
    <row r="120" spans="1:1" s="15" customFormat="1" x14ac:dyDescent="0.2">
      <c r="A120"/>
    </row>
    <row r="121" spans="1:1" s="15" customFormat="1" x14ac:dyDescent="0.2">
      <c r="A121"/>
    </row>
    <row r="122" spans="1:1" s="15" customFormat="1" x14ac:dyDescent="0.2">
      <c r="A122"/>
    </row>
    <row r="123" spans="1:1" s="15" customFormat="1" x14ac:dyDescent="0.2">
      <c r="A123"/>
    </row>
    <row r="124" spans="1:1" s="15" customFormat="1" x14ac:dyDescent="0.2">
      <c r="A124"/>
    </row>
    <row r="125" spans="1:1" s="15" customFormat="1" x14ac:dyDescent="0.2">
      <c r="A125"/>
    </row>
    <row r="126" spans="1:1" s="15" customFormat="1" x14ac:dyDescent="0.2">
      <c r="A126"/>
    </row>
    <row r="127" spans="1:1" s="15" customFormat="1" x14ac:dyDescent="0.2">
      <c r="A127"/>
    </row>
    <row r="128" spans="1:1" s="15" customFormat="1" x14ac:dyDescent="0.2">
      <c r="A128"/>
    </row>
    <row r="129" spans="1:1" s="15" customFormat="1" x14ac:dyDescent="0.2">
      <c r="A129"/>
    </row>
    <row r="130" spans="1:1" s="15" customFormat="1" x14ac:dyDescent="0.2">
      <c r="A130"/>
    </row>
    <row r="131" spans="1:1" s="15" customFormat="1" x14ac:dyDescent="0.2">
      <c r="A131"/>
    </row>
    <row r="132" spans="1:1" s="15" customFormat="1" x14ac:dyDescent="0.2">
      <c r="A132"/>
    </row>
    <row r="133" spans="1:1" s="15" customFormat="1" x14ac:dyDescent="0.2">
      <c r="A133"/>
    </row>
    <row r="134" spans="1:1" s="15" customFormat="1" x14ac:dyDescent="0.2">
      <c r="A134"/>
    </row>
    <row r="135" spans="1:1" s="15" customFormat="1" x14ac:dyDescent="0.2">
      <c r="A135"/>
    </row>
    <row r="136" spans="1:1" s="15" customFormat="1" x14ac:dyDescent="0.2">
      <c r="A136"/>
    </row>
    <row r="137" spans="1:1" s="15" customFormat="1" x14ac:dyDescent="0.2">
      <c r="A137"/>
    </row>
    <row r="138" spans="1:1" s="15" customFormat="1" x14ac:dyDescent="0.2">
      <c r="A138"/>
    </row>
    <row r="139" spans="1:1" s="15" customFormat="1" x14ac:dyDescent="0.2">
      <c r="A139"/>
    </row>
    <row r="140" spans="1:1" s="15" customFormat="1" x14ac:dyDescent="0.2">
      <c r="A140"/>
    </row>
    <row r="141" spans="1:1" s="15" customFormat="1" x14ac:dyDescent="0.2">
      <c r="A141"/>
    </row>
    <row r="142" spans="1:1" s="15" customFormat="1" x14ac:dyDescent="0.2">
      <c r="A142"/>
    </row>
    <row r="143" spans="1:1" s="15" customFormat="1" x14ac:dyDescent="0.2">
      <c r="A143"/>
    </row>
    <row r="144" spans="1:1" s="15" customFormat="1" x14ac:dyDescent="0.2">
      <c r="A144"/>
    </row>
    <row r="145" spans="1:1" s="15" customFormat="1" x14ac:dyDescent="0.2">
      <c r="A145"/>
    </row>
    <row r="146" spans="1:1" s="15" customFormat="1" x14ac:dyDescent="0.2">
      <c r="A146"/>
    </row>
    <row r="147" spans="1:1" s="15" customFormat="1" x14ac:dyDescent="0.2">
      <c r="A147"/>
    </row>
    <row r="148" spans="1:1" s="15" customFormat="1" x14ac:dyDescent="0.2">
      <c r="A148"/>
    </row>
    <row r="149" spans="1:1" s="15" customFormat="1" x14ac:dyDescent="0.2">
      <c r="A149"/>
    </row>
    <row r="150" spans="1:1" s="15" customFormat="1" x14ac:dyDescent="0.2">
      <c r="A150"/>
    </row>
    <row r="151" spans="1:1" s="15" customFormat="1" x14ac:dyDescent="0.2">
      <c r="A151"/>
    </row>
    <row r="152" spans="1:1" s="15" customFormat="1" x14ac:dyDescent="0.2">
      <c r="A152"/>
    </row>
    <row r="153" spans="1:1" s="15" customFormat="1" x14ac:dyDescent="0.2">
      <c r="A153"/>
    </row>
    <row r="154" spans="1:1" s="15" customFormat="1" x14ac:dyDescent="0.2">
      <c r="A154"/>
    </row>
    <row r="155" spans="1:1" s="15" customFormat="1" x14ac:dyDescent="0.2">
      <c r="A155"/>
    </row>
    <row r="156" spans="1:1" s="15" customFormat="1" x14ac:dyDescent="0.2">
      <c r="A156"/>
    </row>
    <row r="157" spans="1:1" s="15" customFormat="1" x14ac:dyDescent="0.2">
      <c r="A157"/>
    </row>
    <row r="158" spans="1:1" s="15" customFormat="1" x14ac:dyDescent="0.2">
      <c r="A158"/>
    </row>
    <row r="159" spans="1:1" s="15" customFormat="1" x14ac:dyDescent="0.2">
      <c r="A159"/>
    </row>
    <row r="160" spans="1:1" s="15" customFormat="1" x14ac:dyDescent="0.2">
      <c r="A160"/>
    </row>
    <row r="161" spans="1:1" s="15" customFormat="1" x14ac:dyDescent="0.2">
      <c r="A161"/>
    </row>
    <row r="162" spans="1:1" s="15" customFormat="1" x14ac:dyDescent="0.2">
      <c r="A162"/>
    </row>
    <row r="163" spans="1:1" s="15" customFormat="1" x14ac:dyDescent="0.2">
      <c r="A163"/>
    </row>
    <row r="164" spans="1:1" s="15" customFormat="1" x14ac:dyDescent="0.2">
      <c r="A164"/>
    </row>
    <row r="165" spans="1:1" s="15" customFormat="1" x14ac:dyDescent="0.2">
      <c r="A165"/>
    </row>
    <row r="166" spans="1:1" s="15" customFormat="1" x14ac:dyDescent="0.2">
      <c r="A166"/>
    </row>
    <row r="167" spans="1:1" s="15" customFormat="1" x14ac:dyDescent="0.2">
      <c r="A167"/>
    </row>
    <row r="168" spans="1:1" s="15" customFormat="1" x14ac:dyDescent="0.2">
      <c r="A168"/>
    </row>
    <row r="169" spans="1:1" s="15" customFormat="1" x14ac:dyDescent="0.2">
      <c r="A169"/>
    </row>
    <row r="170" spans="1:1" s="15" customFormat="1" x14ac:dyDescent="0.2">
      <c r="A170"/>
    </row>
    <row r="171" spans="1:1" s="15" customFormat="1" x14ac:dyDescent="0.2">
      <c r="A171"/>
    </row>
    <row r="172" spans="1:1" s="15" customFormat="1" x14ac:dyDescent="0.2">
      <c r="A172"/>
    </row>
    <row r="173" spans="1:1" s="15" customFormat="1" x14ac:dyDescent="0.2">
      <c r="A173"/>
    </row>
    <row r="174" spans="1:1" s="15" customFormat="1" x14ac:dyDescent="0.2">
      <c r="A174"/>
    </row>
    <row r="175" spans="1:1" s="15" customFormat="1" x14ac:dyDescent="0.2">
      <c r="A175"/>
    </row>
    <row r="176" spans="1:1" s="15" customFormat="1" x14ac:dyDescent="0.2">
      <c r="A176"/>
    </row>
    <row r="177" spans="1:1" s="15" customFormat="1" x14ac:dyDescent="0.2">
      <c r="A177"/>
    </row>
    <row r="178" spans="1:1" s="15" customFormat="1" x14ac:dyDescent="0.2">
      <c r="A178"/>
    </row>
    <row r="179" spans="1:1" s="15" customFormat="1" x14ac:dyDescent="0.2">
      <c r="A179"/>
    </row>
    <row r="180" spans="1:1" s="15" customFormat="1" x14ac:dyDescent="0.2">
      <c r="A180"/>
    </row>
    <row r="181" spans="1:1" s="15" customFormat="1" x14ac:dyDescent="0.2">
      <c r="A181"/>
    </row>
    <row r="182" spans="1:1" s="15" customFormat="1" x14ac:dyDescent="0.2">
      <c r="A182"/>
    </row>
    <row r="183" spans="1:1" s="15" customFormat="1" x14ac:dyDescent="0.2">
      <c r="A183"/>
    </row>
    <row r="184" spans="1:1" s="15" customFormat="1" x14ac:dyDescent="0.2">
      <c r="A184"/>
    </row>
    <row r="185" spans="1:1" s="15" customFormat="1" x14ac:dyDescent="0.2">
      <c r="A185"/>
    </row>
    <row r="186" spans="1:1" s="15" customFormat="1" x14ac:dyDescent="0.2">
      <c r="A186"/>
    </row>
    <row r="187" spans="1:1" s="15" customFormat="1" x14ac:dyDescent="0.2">
      <c r="A187"/>
    </row>
    <row r="188" spans="1:1" s="15" customFormat="1" x14ac:dyDescent="0.2">
      <c r="A188"/>
    </row>
    <row r="189" spans="1:1" s="15" customFormat="1" x14ac:dyDescent="0.2">
      <c r="A189"/>
    </row>
    <row r="190" spans="1:1" s="15" customFormat="1" x14ac:dyDescent="0.2">
      <c r="A190"/>
    </row>
    <row r="191" spans="1:1" s="15" customFormat="1" x14ac:dyDescent="0.2">
      <c r="A191"/>
    </row>
    <row r="192" spans="1:1" s="15" customFormat="1" x14ac:dyDescent="0.2">
      <c r="A192"/>
    </row>
    <row r="193" spans="1:1" s="15" customFormat="1" x14ac:dyDescent="0.2">
      <c r="A193"/>
    </row>
    <row r="194" spans="1:1" s="15" customFormat="1" x14ac:dyDescent="0.2">
      <c r="A194"/>
    </row>
    <row r="195" spans="1:1" s="15" customFormat="1" x14ac:dyDescent="0.2">
      <c r="A195"/>
    </row>
    <row r="196" spans="1:1" s="15" customFormat="1" x14ac:dyDescent="0.2">
      <c r="A196"/>
    </row>
    <row r="197" spans="1:1" s="15" customFormat="1" x14ac:dyDescent="0.2">
      <c r="A197"/>
    </row>
    <row r="198" spans="1:1" s="15" customFormat="1" x14ac:dyDescent="0.2">
      <c r="A198"/>
    </row>
    <row r="199" spans="1:1" s="15" customFormat="1" x14ac:dyDescent="0.2">
      <c r="A199"/>
    </row>
    <row r="200" spans="1:1" s="15" customFormat="1" x14ac:dyDescent="0.2">
      <c r="A200"/>
    </row>
    <row r="201" spans="1:1" s="15" customFormat="1" x14ac:dyDescent="0.2">
      <c r="A201"/>
    </row>
    <row r="202" spans="1:1" s="15" customFormat="1" x14ac:dyDescent="0.2">
      <c r="A202"/>
    </row>
    <row r="203" spans="1:1" s="15" customFormat="1" x14ac:dyDescent="0.2">
      <c r="A203"/>
    </row>
    <row r="204" spans="1:1" s="15" customFormat="1" x14ac:dyDescent="0.2">
      <c r="A204"/>
    </row>
    <row r="205" spans="1:1" s="15" customFormat="1" x14ac:dyDescent="0.2">
      <c r="A205"/>
    </row>
    <row r="206" spans="1:1" s="15" customFormat="1" x14ac:dyDescent="0.2">
      <c r="A206"/>
    </row>
    <row r="207" spans="1:1" s="15" customFormat="1" x14ac:dyDescent="0.2">
      <c r="A207"/>
    </row>
    <row r="208" spans="1:1" s="15" customFormat="1" x14ac:dyDescent="0.2">
      <c r="A208"/>
    </row>
    <row r="209" spans="1:1" s="15" customFormat="1" x14ac:dyDescent="0.2">
      <c r="A209"/>
    </row>
    <row r="210" spans="1:1" s="15" customFormat="1" x14ac:dyDescent="0.2">
      <c r="A210"/>
    </row>
    <row r="211" spans="1:1" s="15" customFormat="1" x14ac:dyDescent="0.2">
      <c r="A211"/>
    </row>
    <row r="212" spans="1:1" s="15" customFormat="1" x14ac:dyDescent="0.2">
      <c r="A212"/>
    </row>
    <row r="213" spans="1:1" s="15" customFormat="1" x14ac:dyDescent="0.2">
      <c r="A213"/>
    </row>
    <row r="214" spans="1:1" s="15" customFormat="1" x14ac:dyDescent="0.2">
      <c r="A214"/>
    </row>
    <row r="215" spans="1:1" s="15" customFormat="1" x14ac:dyDescent="0.2">
      <c r="A215"/>
    </row>
    <row r="216" spans="1:1" s="15" customFormat="1" x14ac:dyDescent="0.2">
      <c r="A216"/>
    </row>
    <row r="217" spans="1:1" s="15" customFormat="1" x14ac:dyDescent="0.2">
      <c r="A217"/>
    </row>
    <row r="218" spans="1:1" s="15" customFormat="1" x14ac:dyDescent="0.2">
      <c r="A218"/>
    </row>
    <row r="219" spans="1:1" s="15" customFormat="1" x14ac:dyDescent="0.2">
      <c r="A219"/>
    </row>
    <row r="220" spans="1:1" s="15" customFormat="1" x14ac:dyDescent="0.2">
      <c r="A220"/>
    </row>
    <row r="221" spans="1:1" s="15" customFormat="1" x14ac:dyDescent="0.2">
      <c r="A221"/>
    </row>
    <row r="222" spans="1:1" s="15" customFormat="1" x14ac:dyDescent="0.2">
      <c r="A222"/>
    </row>
    <row r="223" spans="1:1" s="15" customFormat="1" x14ac:dyDescent="0.2">
      <c r="A223"/>
    </row>
    <row r="224" spans="1:1" s="15" customFormat="1" x14ac:dyDescent="0.2">
      <c r="A224"/>
    </row>
    <row r="225" spans="1:1" s="15" customFormat="1" x14ac:dyDescent="0.2">
      <c r="A225"/>
    </row>
    <row r="226" spans="1:1" s="15" customFormat="1" x14ac:dyDescent="0.2">
      <c r="A226"/>
    </row>
    <row r="227" spans="1:1" s="15" customFormat="1" x14ac:dyDescent="0.2">
      <c r="A227"/>
    </row>
    <row r="228" spans="1:1" s="15" customFormat="1" x14ac:dyDescent="0.2">
      <c r="A228"/>
    </row>
    <row r="229" spans="1:1" s="15" customFormat="1" x14ac:dyDescent="0.2">
      <c r="A229"/>
    </row>
    <row r="230" spans="1:1" s="15" customFormat="1" x14ac:dyDescent="0.2">
      <c r="A230"/>
    </row>
    <row r="231" spans="1:1" s="15" customFormat="1" x14ac:dyDescent="0.2">
      <c r="A231"/>
    </row>
    <row r="232" spans="1:1" s="15" customFormat="1" x14ac:dyDescent="0.2">
      <c r="A232"/>
    </row>
    <row r="233" spans="1:1" s="15" customFormat="1" x14ac:dyDescent="0.2">
      <c r="A233"/>
    </row>
    <row r="234" spans="1:1" s="15" customFormat="1" x14ac:dyDescent="0.2">
      <c r="A234"/>
    </row>
    <row r="235" spans="1:1" s="15" customFormat="1" x14ac:dyDescent="0.2">
      <c r="A235"/>
    </row>
    <row r="236" spans="1:1" s="15" customFormat="1" x14ac:dyDescent="0.2">
      <c r="A236"/>
    </row>
    <row r="237" spans="1:1" s="15" customFormat="1" x14ac:dyDescent="0.2">
      <c r="A237"/>
    </row>
    <row r="238" spans="1:1" s="15" customFormat="1" x14ac:dyDescent="0.2">
      <c r="A238"/>
    </row>
    <row r="239" spans="1:1" s="15" customFormat="1" x14ac:dyDescent="0.2">
      <c r="A239"/>
    </row>
    <row r="240" spans="1:1" s="15" customFormat="1" x14ac:dyDescent="0.2">
      <c r="A240"/>
    </row>
    <row r="241" spans="1:2" s="15" customFormat="1" x14ac:dyDescent="0.2">
      <c r="A241"/>
    </row>
    <row r="242" spans="1:2" s="15" customFormat="1" x14ac:dyDescent="0.2">
      <c r="A242"/>
    </row>
    <row r="243" spans="1:2" s="15" customFormat="1" x14ac:dyDescent="0.2">
      <c r="A243"/>
    </row>
    <row r="244" spans="1:2" s="15" customFormat="1" x14ac:dyDescent="0.2">
      <c r="A244"/>
    </row>
    <row r="245" spans="1:2" s="15" customFormat="1" x14ac:dyDescent="0.2">
      <c r="A245"/>
    </row>
    <row r="246" spans="1:2" s="15" customFormat="1" x14ac:dyDescent="0.2">
      <c r="A246"/>
    </row>
    <row r="247" spans="1:2" s="15" customFormat="1" x14ac:dyDescent="0.2">
      <c r="A247"/>
    </row>
    <row r="248" spans="1:2" s="15" customFormat="1" x14ac:dyDescent="0.2">
      <c r="A248"/>
    </row>
    <row r="249" spans="1:2" s="15" customFormat="1" x14ac:dyDescent="0.2">
      <c r="A249"/>
    </row>
    <row r="250" spans="1:2" s="15" customFormat="1" x14ac:dyDescent="0.2">
      <c r="A250"/>
    </row>
    <row r="251" spans="1:2" s="15" customFormat="1" x14ac:dyDescent="0.2">
      <c r="A251"/>
      <c r="B251"/>
    </row>
    <row r="252" spans="1:2" s="15" customFormat="1" x14ac:dyDescent="0.2">
      <c r="A252"/>
      <c r="B252"/>
    </row>
    <row r="253" spans="1:2" s="15" customFormat="1" x14ac:dyDescent="0.2">
      <c r="A253"/>
      <c r="B253"/>
    </row>
    <row r="254" spans="1:2" s="15" customFormat="1" x14ac:dyDescent="0.2">
      <c r="A254"/>
      <c r="B254"/>
    </row>
    <row r="255" spans="1:2" s="15" customFormat="1" x14ac:dyDescent="0.2">
      <c r="A255"/>
      <c r="B255"/>
    </row>
    <row r="256" spans="1:2" s="15" customFormat="1" x14ac:dyDescent="0.2">
      <c r="A256"/>
      <c r="B256"/>
    </row>
    <row r="257" spans="1:2" s="15" customFormat="1" x14ac:dyDescent="0.2">
      <c r="A257"/>
      <c r="B257"/>
    </row>
    <row r="258" spans="1:2" s="15" customFormat="1" x14ac:dyDescent="0.2">
      <c r="A258"/>
      <c r="B258"/>
    </row>
    <row r="259" spans="1:2" s="15" customFormat="1" x14ac:dyDescent="0.2">
      <c r="A259"/>
      <c r="B259"/>
    </row>
    <row r="260" spans="1:2" s="15" customFormat="1" x14ac:dyDescent="0.2">
      <c r="A260"/>
      <c r="B260"/>
    </row>
    <row r="261" spans="1:2" s="15" customFormat="1" x14ac:dyDescent="0.2">
      <c r="A261"/>
      <c r="B261"/>
    </row>
    <row r="262" spans="1:2" s="15" customFormat="1" x14ac:dyDescent="0.2">
      <c r="A262"/>
      <c r="B262" s="26"/>
    </row>
    <row r="263" spans="1:2" s="15" customFormat="1" x14ac:dyDescent="0.2">
      <c r="A263"/>
      <c r="B263" s="26"/>
    </row>
    <row r="264" spans="1:2" s="15" customFormat="1" x14ac:dyDescent="0.2">
      <c r="A264"/>
      <c r="B264" s="26"/>
    </row>
    <row r="265" spans="1:2" s="15" customFormat="1" x14ac:dyDescent="0.2">
      <c r="A265"/>
      <c r="B265" s="26"/>
    </row>
    <row r="266" spans="1:2" s="15" customFormat="1" x14ac:dyDescent="0.2">
      <c r="A266"/>
      <c r="B266" s="26"/>
    </row>
    <row r="267" spans="1:2" s="15" customFormat="1" x14ac:dyDescent="0.2">
      <c r="A267"/>
      <c r="B267" s="26"/>
    </row>
    <row r="268" spans="1:2" x14ac:dyDescent="0.2">
      <c r="B268" s="26"/>
    </row>
    <row r="269" spans="1:2" x14ac:dyDescent="0.2">
      <c r="B269" s="26"/>
    </row>
    <row r="270" spans="1:2" x14ac:dyDescent="0.2">
      <c r="B270" s="26"/>
    </row>
    <row r="271" spans="1:2" x14ac:dyDescent="0.2">
      <c r="B271" s="26"/>
    </row>
    <row r="272" spans="1:2" x14ac:dyDescent="0.2">
      <c r="B272" s="26"/>
    </row>
    <row r="273" spans="2:2" x14ac:dyDescent="0.2">
      <c r="B273" s="26"/>
    </row>
    <row r="274" spans="2:2" x14ac:dyDescent="0.2">
      <c r="B274" s="26"/>
    </row>
    <row r="275" spans="2:2" x14ac:dyDescent="0.2">
      <c r="B275" s="26"/>
    </row>
    <row r="276" spans="2:2" x14ac:dyDescent="0.2">
      <c r="B276" s="26"/>
    </row>
    <row r="277" spans="2:2" x14ac:dyDescent="0.2">
      <c r="B277" s="26"/>
    </row>
    <row r="278" spans="2:2" x14ac:dyDescent="0.2">
      <c r="B278" s="26"/>
    </row>
    <row r="279" spans="2:2" x14ac:dyDescent="0.2">
      <c r="B279" s="26"/>
    </row>
    <row r="280" spans="2:2" x14ac:dyDescent="0.2">
      <c r="B280" s="26"/>
    </row>
    <row r="281" spans="2:2" x14ac:dyDescent="0.2">
      <c r="B281" s="26"/>
    </row>
    <row r="282" spans="2:2" x14ac:dyDescent="0.2">
      <c r="B282" s="26"/>
    </row>
    <row r="283" spans="2:2" x14ac:dyDescent="0.2">
      <c r="B283" s="26"/>
    </row>
    <row r="284" spans="2:2" x14ac:dyDescent="0.2">
      <c r="B284" s="26"/>
    </row>
    <row r="285" spans="2:2" x14ac:dyDescent="0.2">
      <c r="B285" s="26"/>
    </row>
    <row r="286" spans="2:2" x14ac:dyDescent="0.2">
      <c r="B286" s="26"/>
    </row>
    <row r="287" spans="2:2" x14ac:dyDescent="0.2">
      <c r="B287" s="26"/>
    </row>
    <row r="288" spans="2:2" x14ac:dyDescent="0.2">
      <c r="B288" s="26"/>
    </row>
    <row r="289" spans="2:2" x14ac:dyDescent="0.2">
      <c r="B289" s="26"/>
    </row>
    <row r="290" spans="2:2" x14ac:dyDescent="0.2">
      <c r="B290" s="26"/>
    </row>
    <row r="291" spans="2:2" x14ac:dyDescent="0.2">
      <c r="B291" s="26"/>
    </row>
    <row r="292" spans="2:2" x14ac:dyDescent="0.2">
      <c r="B292" s="26"/>
    </row>
    <row r="293" spans="2:2" x14ac:dyDescent="0.2">
      <c r="B293" s="26"/>
    </row>
    <row r="294" spans="2:2" x14ac:dyDescent="0.2">
      <c r="B294" s="26"/>
    </row>
    <row r="295" spans="2:2" x14ac:dyDescent="0.2">
      <c r="B295" s="26"/>
    </row>
    <row r="296" spans="2:2" x14ac:dyDescent="0.2">
      <c r="B296" s="26"/>
    </row>
    <row r="297" spans="2:2" x14ac:dyDescent="0.2">
      <c r="B297" s="26"/>
    </row>
    <row r="298" spans="2:2" x14ac:dyDescent="0.2">
      <c r="B298" s="26"/>
    </row>
    <row r="299" spans="2:2" x14ac:dyDescent="0.2">
      <c r="B299" s="26"/>
    </row>
    <row r="300" spans="2:2" x14ac:dyDescent="0.2">
      <c r="B300" s="26"/>
    </row>
    <row r="301" spans="2:2" x14ac:dyDescent="0.2">
      <c r="B301" s="26"/>
    </row>
    <row r="302" spans="2:2" x14ac:dyDescent="0.2">
      <c r="B302" s="26"/>
    </row>
    <row r="303" spans="2:2" x14ac:dyDescent="0.2">
      <c r="B303" s="26"/>
    </row>
    <row r="304" spans="2:2" x14ac:dyDescent="0.2">
      <c r="B304" s="26"/>
    </row>
    <row r="305" spans="2:2" x14ac:dyDescent="0.2">
      <c r="B305" s="26"/>
    </row>
    <row r="306" spans="2:2" x14ac:dyDescent="0.2">
      <c r="B306" s="26"/>
    </row>
    <row r="307" spans="2:2" x14ac:dyDescent="0.2">
      <c r="B307" s="26"/>
    </row>
    <row r="308" spans="2:2" x14ac:dyDescent="0.2">
      <c r="B308" s="26"/>
    </row>
    <row r="309" spans="2:2" x14ac:dyDescent="0.2">
      <c r="B309" s="26"/>
    </row>
    <row r="310" spans="2:2" x14ac:dyDescent="0.2">
      <c r="B310" s="26"/>
    </row>
    <row r="311" spans="2:2" x14ac:dyDescent="0.2">
      <c r="B311" s="26"/>
    </row>
    <row r="312" spans="2:2" x14ac:dyDescent="0.2">
      <c r="B312" s="26"/>
    </row>
    <row r="313" spans="2:2" x14ac:dyDescent="0.2">
      <c r="B313" s="26"/>
    </row>
    <row r="314" spans="2:2" x14ac:dyDescent="0.2">
      <c r="B314" s="26"/>
    </row>
    <row r="315" spans="2:2" x14ac:dyDescent="0.2">
      <c r="B315" s="26"/>
    </row>
    <row r="316" spans="2:2" x14ac:dyDescent="0.2">
      <c r="B316" s="26"/>
    </row>
    <row r="317" spans="2:2" x14ac:dyDescent="0.2">
      <c r="B317" s="26"/>
    </row>
    <row r="318" spans="2:2" x14ac:dyDescent="0.2">
      <c r="B318" s="26"/>
    </row>
    <row r="319" spans="2:2" x14ac:dyDescent="0.2">
      <c r="B319" s="26"/>
    </row>
    <row r="320" spans="2:2" x14ac:dyDescent="0.2">
      <c r="B320" s="26"/>
    </row>
    <row r="321" spans="2:2" x14ac:dyDescent="0.2">
      <c r="B321" s="26"/>
    </row>
    <row r="322" spans="2:2" x14ac:dyDescent="0.2">
      <c r="B322" s="26"/>
    </row>
    <row r="323" spans="2:2" x14ac:dyDescent="0.2">
      <c r="B323" s="26"/>
    </row>
    <row r="324" spans="2:2" x14ac:dyDescent="0.2">
      <c r="B324" s="26"/>
    </row>
    <row r="325" spans="2:2" x14ac:dyDescent="0.2">
      <c r="B325" s="26"/>
    </row>
    <row r="326" spans="2:2" x14ac:dyDescent="0.2">
      <c r="B326" s="26"/>
    </row>
    <row r="327" spans="2:2" x14ac:dyDescent="0.2">
      <c r="B327" s="26"/>
    </row>
    <row r="328" spans="2:2" x14ac:dyDescent="0.2">
      <c r="B328" s="26"/>
    </row>
    <row r="329" spans="2:2" x14ac:dyDescent="0.2">
      <c r="B329" s="26"/>
    </row>
    <row r="330" spans="2:2" x14ac:dyDescent="0.2">
      <c r="B330" s="26"/>
    </row>
    <row r="331" spans="2:2" x14ac:dyDescent="0.2">
      <c r="B331" s="26"/>
    </row>
    <row r="332" spans="2:2" x14ac:dyDescent="0.2">
      <c r="B332" s="26"/>
    </row>
    <row r="333" spans="2:2" x14ac:dyDescent="0.2">
      <c r="B333" s="26"/>
    </row>
    <row r="334" spans="2:2" x14ac:dyDescent="0.2">
      <c r="B334" s="26"/>
    </row>
    <row r="335" spans="2:2" x14ac:dyDescent="0.2">
      <c r="B335" s="26"/>
    </row>
    <row r="336" spans="2:2" x14ac:dyDescent="0.2">
      <c r="B336" s="26"/>
    </row>
    <row r="337" spans="2:2" x14ac:dyDescent="0.2">
      <c r="B337" s="26"/>
    </row>
    <row r="338" spans="2:2" x14ac:dyDescent="0.2">
      <c r="B338" s="26"/>
    </row>
    <row r="339" spans="2:2" x14ac:dyDescent="0.2">
      <c r="B339" s="26"/>
    </row>
    <row r="340" spans="2:2" x14ac:dyDescent="0.2">
      <c r="B340" s="26"/>
    </row>
    <row r="341" spans="2:2" x14ac:dyDescent="0.2">
      <c r="B341" s="26"/>
    </row>
    <row r="342" spans="2:2" x14ac:dyDescent="0.2">
      <c r="B342" s="26"/>
    </row>
    <row r="343" spans="2:2" x14ac:dyDescent="0.2">
      <c r="B343" s="26"/>
    </row>
    <row r="344" spans="2:2" x14ac:dyDescent="0.2">
      <c r="B344" s="26"/>
    </row>
    <row r="345" spans="2:2" x14ac:dyDescent="0.2">
      <c r="B345" s="26"/>
    </row>
    <row r="346" spans="2:2" x14ac:dyDescent="0.2">
      <c r="B346" s="26"/>
    </row>
    <row r="347" spans="2:2" x14ac:dyDescent="0.2">
      <c r="B347" s="26"/>
    </row>
    <row r="348" spans="2:2" x14ac:dyDescent="0.2">
      <c r="B348" s="26"/>
    </row>
    <row r="349" spans="2:2" x14ac:dyDescent="0.2">
      <c r="B349" s="26"/>
    </row>
    <row r="350" spans="2:2" x14ac:dyDescent="0.2">
      <c r="B350" s="26"/>
    </row>
    <row r="351" spans="2:2" x14ac:dyDescent="0.2">
      <c r="B351" s="26"/>
    </row>
    <row r="352" spans="2:2" x14ac:dyDescent="0.2">
      <c r="B352" s="26"/>
    </row>
    <row r="353" spans="2:2" x14ac:dyDescent="0.2">
      <c r="B353" s="26"/>
    </row>
    <row r="354" spans="2:2" x14ac:dyDescent="0.2">
      <c r="B354" s="26"/>
    </row>
    <row r="355" spans="2:2" x14ac:dyDescent="0.2">
      <c r="B355" s="26"/>
    </row>
    <row r="356" spans="2:2" x14ac:dyDescent="0.2">
      <c r="B356" s="26"/>
    </row>
    <row r="357" spans="2:2" x14ac:dyDescent="0.2">
      <c r="B357" s="26"/>
    </row>
    <row r="358" spans="2:2" x14ac:dyDescent="0.2">
      <c r="B358" s="26"/>
    </row>
    <row r="359" spans="2:2" x14ac:dyDescent="0.2">
      <c r="B359" s="26"/>
    </row>
    <row r="360" spans="2:2" x14ac:dyDescent="0.2">
      <c r="B360" s="26"/>
    </row>
    <row r="361" spans="2:2" x14ac:dyDescent="0.2">
      <c r="B361" s="26"/>
    </row>
    <row r="362" spans="2:2" x14ac:dyDescent="0.2">
      <c r="B362" s="26"/>
    </row>
    <row r="363" spans="2:2" x14ac:dyDescent="0.2">
      <c r="B363" s="26"/>
    </row>
    <row r="364" spans="2:2" x14ac:dyDescent="0.2">
      <c r="B364" s="26"/>
    </row>
    <row r="365" spans="2:2" x14ac:dyDescent="0.2">
      <c r="B365" s="26"/>
    </row>
    <row r="366" spans="2:2" x14ac:dyDescent="0.2">
      <c r="B366" s="26"/>
    </row>
    <row r="367" spans="2:2" x14ac:dyDescent="0.2">
      <c r="B367" s="26"/>
    </row>
    <row r="368" spans="2:2" x14ac:dyDescent="0.2">
      <c r="B368" s="26"/>
    </row>
    <row r="369" spans="2:2" x14ac:dyDescent="0.2">
      <c r="B369" s="26"/>
    </row>
    <row r="370" spans="2:2" x14ac:dyDescent="0.2">
      <c r="B370" s="26"/>
    </row>
    <row r="371" spans="2:2" x14ac:dyDescent="0.2">
      <c r="B371" s="26"/>
    </row>
    <row r="372" spans="2:2" x14ac:dyDescent="0.2">
      <c r="B372" s="26"/>
    </row>
    <row r="373" spans="2:2" x14ac:dyDescent="0.2">
      <c r="B373" s="26"/>
    </row>
    <row r="374" spans="2:2" x14ac:dyDescent="0.2">
      <c r="B374" s="26"/>
    </row>
    <row r="375" spans="2:2" x14ac:dyDescent="0.2">
      <c r="B375" s="26"/>
    </row>
    <row r="376" spans="2:2" x14ac:dyDescent="0.2">
      <c r="B376" s="26"/>
    </row>
    <row r="377" spans="2:2" x14ac:dyDescent="0.2">
      <c r="B377" s="26"/>
    </row>
    <row r="378" spans="2:2" x14ac:dyDescent="0.2">
      <c r="B378" s="26"/>
    </row>
    <row r="379" spans="2:2" x14ac:dyDescent="0.2">
      <c r="B379" s="26"/>
    </row>
    <row r="380" spans="2:2" x14ac:dyDescent="0.2">
      <c r="B380" s="26"/>
    </row>
    <row r="381" spans="2:2" x14ac:dyDescent="0.2">
      <c r="B381" s="26"/>
    </row>
    <row r="382" spans="2:2" x14ac:dyDescent="0.2">
      <c r="B382" s="26"/>
    </row>
    <row r="383" spans="2:2" x14ac:dyDescent="0.2">
      <c r="B383" s="26"/>
    </row>
    <row r="384" spans="2:2" x14ac:dyDescent="0.2">
      <c r="B384" s="26"/>
    </row>
    <row r="385" spans="2:2" x14ac:dyDescent="0.2">
      <c r="B385" s="26"/>
    </row>
    <row r="386" spans="2:2" x14ac:dyDescent="0.2">
      <c r="B386" s="26"/>
    </row>
    <row r="387" spans="2:2" x14ac:dyDescent="0.2">
      <c r="B387" s="26"/>
    </row>
    <row r="388" spans="2:2" x14ac:dyDescent="0.2">
      <c r="B388" s="26"/>
    </row>
    <row r="389" spans="2:2" x14ac:dyDescent="0.2">
      <c r="B389" s="26"/>
    </row>
    <row r="390" spans="2:2" x14ac:dyDescent="0.2">
      <c r="B390" s="26"/>
    </row>
    <row r="391" spans="2:2" x14ac:dyDescent="0.2">
      <c r="B391" s="26"/>
    </row>
    <row r="392" spans="2:2" x14ac:dyDescent="0.2">
      <c r="B392" s="26"/>
    </row>
    <row r="393" spans="2:2" x14ac:dyDescent="0.2">
      <c r="B393" s="26"/>
    </row>
    <row r="394" spans="2:2" x14ac:dyDescent="0.2">
      <c r="B394" s="26"/>
    </row>
    <row r="395" spans="2:2" x14ac:dyDescent="0.2">
      <c r="B395" s="26"/>
    </row>
    <row r="396" spans="2:2" x14ac:dyDescent="0.2">
      <c r="B396" s="26"/>
    </row>
    <row r="397" spans="2:2" x14ac:dyDescent="0.2">
      <c r="B397" s="26"/>
    </row>
    <row r="398" spans="2:2" x14ac:dyDescent="0.2">
      <c r="B398" s="26"/>
    </row>
    <row r="399" spans="2:2" x14ac:dyDescent="0.2">
      <c r="B399" s="26"/>
    </row>
    <row r="400" spans="2:2" x14ac:dyDescent="0.2">
      <c r="B400" s="26"/>
    </row>
    <row r="401" spans="2:2" x14ac:dyDescent="0.2">
      <c r="B401" s="26"/>
    </row>
    <row r="402" spans="2:2" x14ac:dyDescent="0.2">
      <c r="B402" s="26"/>
    </row>
    <row r="403" spans="2:2" x14ac:dyDescent="0.2">
      <c r="B403" s="26"/>
    </row>
    <row r="404" spans="2:2" x14ac:dyDescent="0.2">
      <c r="B404" s="26"/>
    </row>
    <row r="405" spans="2:2" x14ac:dyDescent="0.2">
      <c r="B405" s="26"/>
    </row>
    <row r="406" spans="2:2" x14ac:dyDescent="0.2">
      <c r="B406" s="26"/>
    </row>
    <row r="407" spans="2:2" x14ac:dyDescent="0.2">
      <c r="B407" s="26"/>
    </row>
    <row r="408" spans="2:2" x14ac:dyDescent="0.2">
      <c r="B408" s="26"/>
    </row>
    <row r="409" spans="2:2" x14ac:dyDescent="0.2">
      <c r="B409" s="26"/>
    </row>
    <row r="410" spans="2:2" x14ac:dyDescent="0.2">
      <c r="B410" s="26"/>
    </row>
    <row r="411" spans="2:2" x14ac:dyDescent="0.2">
      <c r="B411" s="26"/>
    </row>
    <row r="412" spans="2:2" x14ac:dyDescent="0.2">
      <c r="B412" s="26"/>
    </row>
    <row r="413" spans="2:2" x14ac:dyDescent="0.2">
      <c r="B413" s="26"/>
    </row>
    <row r="414" spans="2:2" x14ac:dyDescent="0.2">
      <c r="B414" s="26"/>
    </row>
    <row r="415" spans="2:2" x14ac:dyDescent="0.2">
      <c r="B415" s="26"/>
    </row>
    <row r="416" spans="2:2" x14ac:dyDescent="0.2">
      <c r="B416" s="26"/>
    </row>
    <row r="417" spans="2:2" x14ac:dyDescent="0.2">
      <c r="B417" s="26"/>
    </row>
    <row r="418" spans="2:2" x14ac:dyDescent="0.2">
      <c r="B418" s="26"/>
    </row>
    <row r="419" spans="2:2" x14ac:dyDescent="0.2">
      <c r="B419" s="26"/>
    </row>
    <row r="420" spans="2:2" x14ac:dyDescent="0.2">
      <c r="B420" s="26"/>
    </row>
    <row r="421" spans="2:2" x14ac:dyDescent="0.2">
      <c r="B421" s="26"/>
    </row>
    <row r="422" spans="2:2" x14ac:dyDescent="0.2">
      <c r="B422" s="26"/>
    </row>
    <row r="423" spans="2:2" x14ac:dyDescent="0.2">
      <c r="B423" s="26"/>
    </row>
    <row r="424" spans="2:2" x14ac:dyDescent="0.2">
      <c r="B424" s="26"/>
    </row>
    <row r="425" spans="2:2" x14ac:dyDescent="0.2">
      <c r="B425" s="26"/>
    </row>
    <row r="426" spans="2:2" x14ac:dyDescent="0.2">
      <c r="B426" s="26"/>
    </row>
    <row r="427" spans="2:2" x14ac:dyDescent="0.2">
      <c r="B427" s="26"/>
    </row>
    <row r="428" spans="2:2" x14ac:dyDescent="0.2">
      <c r="B428" s="26"/>
    </row>
    <row r="429" spans="2:2" x14ac:dyDescent="0.2">
      <c r="B429" s="26"/>
    </row>
    <row r="430" spans="2:2" x14ac:dyDescent="0.2">
      <c r="B430" s="26"/>
    </row>
    <row r="431" spans="2:2" x14ac:dyDescent="0.2">
      <c r="B431" s="26"/>
    </row>
    <row r="432" spans="2:2" x14ac:dyDescent="0.2">
      <c r="B432" s="26"/>
    </row>
    <row r="433" spans="2:2" x14ac:dyDescent="0.2">
      <c r="B433" s="26"/>
    </row>
    <row r="434" spans="2:2" x14ac:dyDescent="0.2">
      <c r="B434" s="26"/>
    </row>
    <row r="435" spans="2:2" x14ac:dyDescent="0.2">
      <c r="B435" s="26"/>
    </row>
    <row r="436" spans="2:2" x14ac:dyDescent="0.2">
      <c r="B436" s="26"/>
    </row>
    <row r="437" spans="2:2" x14ac:dyDescent="0.2">
      <c r="B437" s="26"/>
    </row>
    <row r="438" spans="2:2" x14ac:dyDescent="0.2">
      <c r="B438" s="26"/>
    </row>
    <row r="439" spans="2:2" x14ac:dyDescent="0.2">
      <c r="B439" s="26"/>
    </row>
    <row r="440" spans="2:2" x14ac:dyDescent="0.2">
      <c r="B440" s="26"/>
    </row>
    <row r="441" spans="2:2" x14ac:dyDescent="0.2">
      <c r="B441" s="26"/>
    </row>
    <row r="442" spans="2:2" x14ac:dyDescent="0.2">
      <c r="B442" s="26"/>
    </row>
    <row r="443" spans="2:2" x14ac:dyDescent="0.2">
      <c r="B443" s="26"/>
    </row>
    <row r="444" spans="2:2" x14ac:dyDescent="0.2">
      <c r="B444" s="26"/>
    </row>
    <row r="445" spans="2:2" x14ac:dyDescent="0.2">
      <c r="B445" s="26"/>
    </row>
    <row r="446" spans="2:2" x14ac:dyDescent="0.2">
      <c r="B446" s="26"/>
    </row>
    <row r="447" spans="2:2" x14ac:dyDescent="0.2">
      <c r="B447" s="26"/>
    </row>
    <row r="448" spans="2:2" x14ac:dyDescent="0.2">
      <c r="B448" s="26"/>
    </row>
    <row r="449" spans="2:2" x14ac:dyDescent="0.2">
      <c r="B449" s="26"/>
    </row>
    <row r="450" spans="2:2" x14ac:dyDescent="0.2">
      <c r="B450" s="26"/>
    </row>
    <row r="451" spans="2:2" x14ac:dyDescent="0.2">
      <c r="B451" s="26"/>
    </row>
    <row r="452" spans="2:2" x14ac:dyDescent="0.2">
      <c r="B452" s="26"/>
    </row>
    <row r="453" spans="2:2" x14ac:dyDescent="0.2">
      <c r="B453" s="26"/>
    </row>
    <row r="454" spans="2:2" x14ac:dyDescent="0.2">
      <c r="B454" s="26"/>
    </row>
    <row r="455" spans="2:2" x14ac:dyDescent="0.2">
      <c r="B455" s="26"/>
    </row>
    <row r="456" spans="2:2" x14ac:dyDescent="0.2">
      <c r="B456" s="26"/>
    </row>
    <row r="457" spans="2:2" x14ac:dyDescent="0.2">
      <c r="B457" s="26"/>
    </row>
    <row r="458" spans="2:2" x14ac:dyDescent="0.2">
      <c r="B458" s="26"/>
    </row>
    <row r="459" spans="2:2" x14ac:dyDescent="0.2">
      <c r="B459" s="26"/>
    </row>
    <row r="460" spans="2:2" x14ac:dyDescent="0.2">
      <c r="B460" s="26"/>
    </row>
    <row r="461" spans="2:2" x14ac:dyDescent="0.2">
      <c r="B461" s="26"/>
    </row>
    <row r="462" spans="2:2" x14ac:dyDescent="0.2">
      <c r="B462" s="26"/>
    </row>
    <row r="463" spans="2:2" x14ac:dyDescent="0.2">
      <c r="B463" s="26"/>
    </row>
    <row r="464" spans="2:2" x14ac:dyDescent="0.2">
      <c r="B464" s="26"/>
    </row>
    <row r="465" spans="2:2" x14ac:dyDescent="0.2">
      <c r="B465" s="26"/>
    </row>
    <row r="466" spans="2:2" x14ac:dyDescent="0.2">
      <c r="B466" s="26"/>
    </row>
    <row r="467" spans="2:2" x14ac:dyDescent="0.2">
      <c r="B467" s="26"/>
    </row>
    <row r="468" spans="2:2" x14ac:dyDescent="0.2">
      <c r="B468" s="26"/>
    </row>
    <row r="469" spans="2:2" x14ac:dyDescent="0.2">
      <c r="B469" s="26"/>
    </row>
    <row r="470" spans="2:2" x14ac:dyDescent="0.2">
      <c r="B470" s="26"/>
    </row>
    <row r="471" spans="2:2" x14ac:dyDescent="0.2">
      <c r="B471" s="26"/>
    </row>
    <row r="472" spans="2:2" x14ac:dyDescent="0.2">
      <c r="B472" s="26"/>
    </row>
    <row r="473" spans="2:2" x14ac:dyDescent="0.2">
      <c r="B473" s="26"/>
    </row>
    <row r="474" spans="2:2" x14ac:dyDescent="0.2">
      <c r="B474" s="26"/>
    </row>
    <row r="475" spans="2:2" x14ac:dyDescent="0.2">
      <c r="B475" s="26"/>
    </row>
    <row r="476" spans="2:2" x14ac:dyDescent="0.2">
      <c r="B476" s="26"/>
    </row>
    <row r="477" spans="2:2" x14ac:dyDescent="0.2">
      <c r="B477" s="26"/>
    </row>
    <row r="478" spans="2:2" x14ac:dyDescent="0.2">
      <c r="B478" s="26"/>
    </row>
    <row r="479" spans="2:2" x14ac:dyDescent="0.2">
      <c r="B479" s="26"/>
    </row>
    <row r="480" spans="2:2" x14ac:dyDescent="0.2">
      <c r="B480" s="26"/>
    </row>
    <row r="481" spans="2:2" x14ac:dyDescent="0.2">
      <c r="B481" s="26"/>
    </row>
    <row r="482" spans="2:2" x14ac:dyDescent="0.2">
      <c r="B482" s="26"/>
    </row>
    <row r="483" spans="2:2" x14ac:dyDescent="0.2">
      <c r="B483" s="26"/>
    </row>
    <row r="484" spans="2:2" x14ac:dyDescent="0.2">
      <c r="B484" s="26"/>
    </row>
    <row r="485" spans="2:2" x14ac:dyDescent="0.2">
      <c r="B485" s="26"/>
    </row>
    <row r="486" spans="2:2" x14ac:dyDescent="0.2">
      <c r="B486" s="26"/>
    </row>
    <row r="487" spans="2:2" x14ac:dyDescent="0.2">
      <c r="B487" s="26"/>
    </row>
    <row r="488" spans="2:2" x14ac:dyDescent="0.2">
      <c r="B488" s="26"/>
    </row>
    <row r="489" spans="2:2" x14ac:dyDescent="0.2">
      <c r="B489" s="26"/>
    </row>
    <row r="490" spans="2:2" x14ac:dyDescent="0.2">
      <c r="B490" s="26"/>
    </row>
    <row r="491" spans="2:2" x14ac:dyDescent="0.2">
      <c r="B491" s="26"/>
    </row>
    <row r="492" spans="2:2" x14ac:dyDescent="0.2">
      <c r="B492" s="26"/>
    </row>
    <row r="493" spans="2:2" x14ac:dyDescent="0.2">
      <c r="B493" s="26"/>
    </row>
    <row r="494" spans="2:2" x14ac:dyDescent="0.2">
      <c r="B494" s="26"/>
    </row>
    <row r="495" spans="2:2" x14ac:dyDescent="0.2">
      <c r="B495" s="26"/>
    </row>
    <row r="496" spans="2:2" x14ac:dyDescent="0.2">
      <c r="B496" s="26"/>
    </row>
    <row r="497" spans="2:2" x14ac:dyDescent="0.2">
      <c r="B497" s="26"/>
    </row>
    <row r="498" spans="2:2" x14ac:dyDescent="0.2">
      <c r="B498" s="26"/>
    </row>
    <row r="499" spans="2:2" x14ac:dyDescent="0.2">
      <c r="B499" s="26"/>
    </row>
    <row r="500" spans="2:2" x14ac:dyDescent="0.2">
      <c r="B500" s="26"/>
    </row>
    <row r="501" spans="2:2" x14ac:dyDescent="0.2">
      <c r="B501" s="26"/>
    </row>
    <row r="502" spans="2:2" x14ac:dyDescent="0.2">
      <c r="B502" s="26"/>
    </row>
    <row r="503" spans="2:2" x14ac:dyDescent="0.2">
      <c r="B503" s="26"/>
    </row>
    <row r="504" spans="2:2" x14ac:dyDescent="0.2">
      <c r="B504" s="26"/>
    </row>
    <row r="505" spans="2:2" x14ac:dyDescent="0.2">
      <c r="B505" s="26"/>
    </row>
    <row r="506" spans="2:2" x14ac:dyDescent="0.2">
      <c r="B506" s="26"/>
    </row>
    <row r="507" spans="2:2" x14ac:dyDescent="0.2">
      <c r="B507" s="26"/>
    </row>
    <row r="508" spans="2:2" x14ac:dyDescent="0.2">
      <c r="B508" s="26"/>
    </row>
    <row r="509" spans="2:2" x14ac:dyDescent="0.2">
      <c r="B509" s="26"/>
    </row>
    <row r="510" spans="2:2" x14ac:dyDescent="0.2">
      <c r="B510" s="26"/>
    </row>
    <row r="511" spans="2:2" x14ac:dyDescent="0.2">
      <c r="B511" s="26"/>
    </row>
    <row r="512" spans="2:2" x14ac:dyDescent="0.2">
      <c r="B512" s="26"/>
    </row>
    <row r="513" spans="2:2" x14ac:dyDescent="0.2">
      <c r="B513" s="26"/>
    </row>
    <row r="514" spans="2:2" x14ac:dyDescent="0.2">
      <c r="B514" s="26"/>
    </row>
    <row r="515" spans="2:2" x14ac:dyDescent="0.2">
      <c r="B515" s="26"/>
    </row>
    <row r="516" spans="2:2" x14ac:dyDescent="0.2">
      <c r="B516" s="26"/>
    </row>
    <row r="517" spans="2:2" x14ac:dyDescent="0.2">
      <c r="B517" s="26"/>
    </row>
    <row r="518" spans="2:2" x14ac:dyDescent="0.2">
      <c r="B518" s="26"/>
    </row>
    <row r="519" spans="2:2" x14ac:dyDescent="0.2">
      <c r="B519" s="26"/>
    </row>
    <row r="520" spans="2:2" x14ac:dyDescent="0.2">
      <c r="B520" s="26"/>
    </row>
    <row r="521" spans="2:2" x14ac:dyDescent="0.2">
      <c r="B521" s="26"/>
    </row>
    <row r="522" spans="2:2" x14ac:dyDescent="0.2">
      <c r="B522" s="26"/>
    </row>
    <row r="523" spans="2:2" x14ac:dyDescent="0.2">
      <c r="B523" s="26"/>
    </row>
    <row r="524" spans="2:2" x14ac:dyDescent="0.2">
      <c r="B524" s="26"/>
    </row>
    <row r="525" spans="2:2" x14ac:dyDescent="0.2">
      <c r="B525" s="26"/>
    </row>
    <row r="526" spans="2:2" x14ac:dyDescent="0.2">
      <c r="B526" s="26"/>
    </row>
    <row r="527" spans="2:2" x14ac:dyDescent="0.2">
      <c r="B527" s="26"/>
    </row>
    <row r="528" spans="2:2" x14ac:dyDescent="0.2">
      <c r="B528" s="26"/>
    </row>
    <row r="529" spans="2:2" x14ac:dyDescent="0.2">
      <c r="B529" s="26"/>
    </row>
    <row r="530" spans="2:2" x14ac:dyDescent="0.2">
      <c r="B530" s="26"/>
    </row>
    <row r="531" spans="2:2" x14ac:dyDescent="0.2">
      <c r="B531" s="26"/>
    </row>
    <row r="532" spans="2:2" x14ac:dyDescent="0.2">
      <c r="B532" s="26"/>
    </row>
    <row r="533" spans="2:2" x14ac:dyDescent="0.2">
      <c r="B533" s="26"/>
    </row>
    <row r="534" spans="2:2" x14ac:dyDescent="0.2">
      <c r="B534" s="26"/>
    </row>
    <row r="535" spans="2:2" x14ac:dyDescent="0.2">
      <c r="B535" s="26"/>
    </row>
    <row r="536" spans="2:2" x14ac:dyDescent="0.2">
      <c r="B536" s="26"/>
    </row>
    <row r="537" spans="2:2" x14ac:dyDescent="0.2">
      <c r="B537" s="26"/>
    </row>
    <row r="538" spans="2:2" x14ac:dyDescent="0.2">
      <c r="B538" s="26"/>
    </row>
    <row r="539" spans="2:2" x14ac:dyDescent="0.2">
      <c r="B539" s="26"/>
    </row>
    <row r="540" spans="2:2" x14ac:dyDescent="0.2">
      <c r="B540" s="26"/>
    </row>
    <row r="541" spans="2:2" x14ac:dyDescent="0.2">
      <c r="B541" s="26"/>
    </row>
    <row r="542" spans="2:2" x14ac:dyDescent="0.2">
      <c r="B542" s="26"/>
    </row>
    <row r="543" spans="2:2" x14ac:dyDescent="0.2">
      <c r="B543" s="26"/>
    </row>
    <row r="544" spans="2:2" x14ac:dyDescent="0.2">
      <c r="B544" s="26"/>
    </row>
    <row r="545" spans="2:2" x14ac:dyDescent="0.2">
      <c r="B545" s="26"/>
    </row>
    <row r="546" spans="2:2" x14ac:dyDescent="0.2">
      <c r="B546" s="26"/>
    </row>
    <row r="547" spans="2:2" x14ac:dyDescent="0.2">
      <c r="B547" s="26"/>
    </row>
    <row r="548" spans="2:2" x14ac:dyDescent="0.2">
      <c r="B548" s="26"/>
    </row>
    <row r="549" spans="2:2" x14ac:dyDescent="0.2">
      <c r="B549" s="26"/>
    </row>
    <row r="550" spans="2:2" x14ac:dyDescent="0.2">
      <c r="B550" s="26"/>
    </row>
    <row r="551" spans="2:2" x14ac:dyDescent="0.2">
      <c r="B551" s="26"/>
    </row>
    <row r="552" spans="2:2" x14ac:dyDescent="0.2">
      <c r="B552" s="26"/>
    </row>
    <row r="553" spans="2:2" x14ac:dyDescent="0.2">
      <c r="B553" s="26"/>
    </row>
    <row r="554" spans="2:2" x14ac:dyDescent="0.2">
      <c r="B554" s="26"/>
    </row>
    <row r="555" spans="2:2" x14ac:dyDescent="0.2">
      <c r="B555" s="26"/>
    </row>
    <row r="556" spans="2:2" x14ac:dyDescent="0.2">
      <c r="B556" s="26"/>
    </row>
    <row r="557" spans="2:2" x14ac:dyDescent="0.2">
      <c r="B557" s="26"/>
    </row>
    <row r="558" spans="2:2" x14ac:dyDescent="0.2">
      <c r="B558" s="26"/>
    </row>
    <row r="559" spans="2:2" x14ac:dyDescent="0.2">
      <c r="B559" s="26"/>
    </row>
    <row r="560" spans="2:2" x14ac:dyDescent="0.2">
      <c r="B560" s="26"/>
    </row>
    <row r="561" spans="2:2" x14ac:dyDescent="0.2">
      <c r="B561" s="26"/>
    </row>
    <row r="562" spans="2:2" x14ac:dyDescent="0.2">
      <c r="B562" s="26"/>
    </row>
    <row r="563" spans="2:2" x14ac:dyDescent="0.2">
      <c r="B563" s="26"/>
    </row>
    <row r="564" spans="2:2" x14ac:dyDescent="0.2">
      <c r="B564" s="26"/>
    </row>
    <row r="565" spans="2:2" x14ac:dyDescent="0.2">
      <c r="B565" s="26"/>
    </row>
    <row r="566" spans="2:2" x14ac:dyDescent="0.2">
      <c r="B566" s="26"/>
    </row>
    <row r="567" spans="2:2" x14ac:dyDescent="0.2">
      <c r="B567" s="26"/>
    </row>
    <row r="568" spans="2:2" x14ac:dyDescent="0.2">
      <c r="B568" s="26"/>
    </row>
    <row r="569" spans="2:2" x14ac:dyDescent="0.2">
      <c r="B569" s="26"/>
    </row>
    <row r="570" spans="2:2" x14ac:dyDescent="0.2">
      <c r="B570" s="26"/>
    </row>
    <row r="571" spans="2:2" x14ac:dyDescent="0.2">
      <c r="B571" s="26"/>
    </row>
    <row r="572" spans="2:2" x14ac:dyDescent="0.2">
      <c r="B572" s="26"/>
    </row>
    <row r="573" spans="2:2" x14ac:dyDescent="0.2">
      <c r="B573" s="26"/>
    </row>
    <row r="574" spans="2:2" x14ac:dyDescent="0.2">
      <c r="B574" s="26"/>
    </row>
    <row r="575" spans="2:2" x14ac:dyDescent="0.2">
      <c r="B575" s="26"/>
    </row>
    <row r="576" spans="2:2" x14ac:dyDescent="0.2">
      <c r="B576" s="26"/>
    </row>
    <row r="577" spans="2:2" x14ac:dyDescent="0.2">
      <c r="B577" s="26"/>
    </row>
    <row r="578" spans="2:2" x14ac:dyDescent="0.2">
      <c r="B578" s="26"/>
    </row>
    <row r="579" spans="2:2" x14ac:dyDescent="0.2">
      <c r="B579" s="26"/>
    </row>
    <row r="580" spans="2:2" x14ac:dyDescent="0.2">
      <c r="B580" s="26"/>
    </row>
    <row r="581" spans="2:2" x14ac:dyDescent="0.2">
      <c r="B581" s="26"/>
    </row>
    <row r="582" spans="2:2" x14ac:dyDescent="0.2">
      <c r="B582" s="26"/>
    </row>
    <row r="583" spans="2:2" x14ac:dyDescent="0.2">
      <c r="B583" s="26"/>
    </row>
    <row r="584" spans="2:2" x14ac:dyDescent="0.2">
      <c r="B584" s="26"/>
    </row>
    <row r="585" spans="2:2" x14ac:dyDescent="0.2">
      <c r="B585" s="26"/>
    </row>
    <row r="586" spans="2:2" x14ac:dyDescent="0.2">
      <c r="B586" s="26"/>
    </row>
    <row r="587" spans="2:2" x14ac:dyDescent="0.2">
      <c r="B587" s="26"/>
    </row>
    <row r="588" spans="2:2" x14ac:dyDescent="0.2">
      <c r="B588" s="26"/>
    </row>
    <row r="589" spans="2:2" x14ac:dyDescent="0.2">
      <c r="B589" s="26"/>
    </row>
    <row r="590" spans="2:2" x14ac:dyDescent="0.2">
      <c r="B590" s="26"/>
    </row>
    <row r="591" spans="2:2" x14ac:dyDescent="0.2">
      <c r="B591" s="26"/>
    </row>
    <row r="592" spans="2:2" x14ac:dyDescent="0.2">
      <c r="B592" s="26"/>
    </row>
    <row r="593" spans="2:2" x14ac:dyDescent="0.2">
      <c r="B593" s="26"/>
    </row>
    <row r="594" spans="2:2" x14ac:dyDescent="0.2">
      <c r="B594" s="26"/>
    </row>
    <row r="595" spans="2:2" x14ac:dyDescent="0.2">
      <c r="B595" s="26"/>
    </row>
    <row r="596" spans="2:2" x14ac:dyDescent="0.2">
      <c r="B596" s="26"/>
    </row>
    <row r="597" spans="2:2" x14ac:dyDescent="0.2">
      <c r="B597" s="26"/>
    </row>
    <row r="598" spans="2:2" x14ac:dyDescent="0.2">
      <c r="B598" s="26"/>
    </row>
    <row r="599" spans="2:2" x14ac:dyDescent="0.2">
      <c r="B599" s="26"/>
    </row>
    <row r="600" spans="2:2" x14ac:dyDescent="0.2">
      <c r="B600" s="26"/>
    </row>
    <row r="601" spans="2:2" x14ac:dyDescent="0.2">
      <c r="B601" s="26"/>
    </row>
    <row r="602" spans="2:2" x14ac:dyDescent="0.2">
      <c r="B602" s="26"/>
    </row>
    <row r="603" spans="2:2" x14ac:dyDescent="0.2">
      <c r="B603" s="26"/>
    </row>
    <row r="604" spans="2:2" x14ac:dyDescent="0.2">
      <c r="B604" s="26"/>
    </row>
    <row r="605" spans="2:2" x14ac:dyDescent="0.2">
      <c r="B605" s="26"/>
    </row>
    <row r="606" spans="2:2" x14ac:dyDescent="0.2">
      <c r="B606" s="26"/>
    </row>
    <row r="607" spans="2:2" x14ac:dyDescent="0.2">
      <c r="B607" s="26"/>
    </row>
    <row r="608" spans="2:2" x14ac:dyDescent="0.2">
      <c r="B608" s="26"/>
    </row>
    <row r="609" spans="2:2" x14ac:dyDescent="0.2">
      <c r="B609" s="26"/>
    </row>
    <row r="610" spans="2:2" x14ac:dyDescent="0.2">
      <c r="B610" s="26"/>
    </row>
    <row r="611" spans="2:2" x14ac:dyDescent="0.2">
      <c r="B611" s="26"/>
    </row>
    <row r="612" spans="2:2" x14ac:dyDescent="0.2">
      <c r="B612" s="26"/>
    </row>
    <row r="613" spans="2:2" x14ac:dyDescent="0.2">
      <c r="B613" s="26"/>
    </row>
    <row r="614" spans="2:2" x14ac:dyDescent="0.2">
      <c r="B614" s="26"/>
    </row>
    <row r="615" spans="2:2" x14ac:dyDescent="0.2">
      <c r="B615" s="26"/>
    </row>
    <row r="616" spans="2:2" x14ac:dyDescent="0.2">
      <c r="B616" s="26"/>
    </row>
    <row r="617" spans="2:2" x14ac:dyDescent="0.2">
      <c r="B617" s="26"/>
    </row>
    <row r="618" spans="2:2" x14ac:dyDescent="0.2">
      <c r="B618" s="26"/>
    </row>
    <row r="619" spans="2:2" x14ac:dyDescent="0.2">
      <c r="B619" s="26"/>
    </row>
    <row r="620" spans="2:2" x14ac:dyDescent="0.2">
      <c r="B620" s="26"/>
    </row>
    <row r="621" spans="2:2" x14ac:dyDescent="0.2">
      <c r="B621" s="26"/>
    </row>
    <row r="622" spans="2:2" x14ac:dyDescent="0.2">
      <c r="B622" s="26"/>
    </row>
    <row r="623" spans="2:2" x14ac:dyDescent="0.2">
      <c r="B623" s="26"/>
    </row>
    <row r="624" spans="2:2" x14ac:dyDescent="0.2">
      <c r="B624" s="26"/>
    </row>
    <row r="625" spans="2:2" x14ac:dyDescent="0.2">
      <c r="B625" s="26"/>
    </row>
    <row r="626" spans="2:2" x14ac:dyDescent="0.2">
      <c r="B626" s="26"/>
    </row>
    <row r="627" spans="2:2" x14ac:dyDescent="0.2">
      <c r="B627" s="26"/>
    </row>
    <row r="628" spans="2:2" x14ac:dyDescent="0.2">
      <c r="B628" s="26"/>
    </row>
    <row r="629" spans="2:2" x14ac:dyDescent="0.2">
      <c r="B629" s="26"/>
    </row>
    <row r="630" spans="2:2" x14ac:dyDescent="0.2">
      <c r="B630" s="26"/>
    </row>
    <row r="631" spans="2:2" x14ac:dyDescent="0.2">
      <c r="B631" s="26"/>
    </row>
    <row r="632" spans="2:2" x14ac:dyDescent="0.2">
      <c r="B632" s="26"/>
    </row>
    <row r="633" spans="2:2" x14ac:dyDescent="0.2">
      <c r="B633" s="26"/>
    </row>
    <row r="634" spans="2:2" x14ac:dyDescent="0.2">
      <c r="B634" s="26"/>
    </row>
    <row r="635" spans="2:2" x14ac:dyDescent="0.2">
      <c r="B635" s="26"/>
    </row>
    <row r="636" spans="2:2" x14ac:dyDescent="0.2">
      <c r="B636" s="26"/>
    </row>
    <row r="637" spans="2:2" x14ac:dyDescent="0.2">
      <c r="B637" s="26"/>
    </row>
    <row r="638" spans="2:2" x14ac:dyDescent="0.2">
      <c r="B638" s="26"/>
    </row>
    <row r="639" spans="2:2" x14ac:dyDescent="0.2">
      <c r="B639" s="26"/>
    </row>
    <row r="640" spans="2:2" x14ac:dyDescent="0.2">
      <c r="B640" s="26"/>
    </row>
    <row r="641" spans="2:2" x14ac:dyDescent="0.2">
      <c r="B641" s="26"/>
    </row>
    <row r="642" spans="2:2" x14ac:dyDescent="0.2">
      <c r="B642" s="26"/>
    </row>
    <row r="643" spans="2:2" x14ac:dyDescent="0.2">
      <c r="B643" s="26"/>
    </row>
    <row r="644" spans="2:2" x14ac:dyDescent="0.2">
      <c r="B644" s="26"/>
    </row>
    <row r="645" spans="2:2" x14ac:dyDescent="0.2">
      <c r="B645" s="26"/>
    </row>
    <row r="646" spans="2:2" x14ac:dyDescent="0.2">
      <c r="B646" s="26"/>
    </row>
    <row r="647" spans="2:2" x14ac:dyDescent="0.2">
      <c r="B647" s="26"/>
    </row>
    <row r="648" spans="2:2" x14ac:dyDescent="0.2">
      <c r="B648" s="26"/>
    </row>
    <row r="649" spans="2:2" x14ac:dyDescent="0.2">
      <c r="B649" s="26"/>
    </row>
    <row r="650" spans="2:2" x14ac:dyDescent="0.2">
      <c r="B650" s="26"/>
    </row>
    <row r="651" spans="2:2" x14ac:dyDescent="0.2">
      <c r="B651" s="26"/>
    </row>
    <row r="652" spans="2:2" x14ac:dyDescent="0.2">
      <c r="B652" s="26"/>
    </row>
    <row r="653" spans="2:2" x14ac:dyDescent="0.2">
      <c r="B653" s="26"/>
    </row>
    <row r="654" spans="2:2" x14ac:dyDescent="0.2">
      <c r="B654" s="26"/>
    </row>
    <row r="655" spans="2:2" x14ac:dyDescent="0.2">
      <c r="B655" s="26"/>
    </row>
    <row r="656" spans="2:2" x14ac:dyDescent="0.2">
      <c r="B656" s="26"/>
    </row>
    <row r="657" spans="2:2" x14ac:dyDescent="0.2">
      <c r="B657" s="26"/>
    </row>
    <row r="658" spans="2:2" x14ac:dyDescent="0.2">
      <c r="B658" s="26"/>
    </row>
    <row r="659" spans="2:2" x14ac:dyDescent="0.2">
      <c r="B659" s="26"/>
    </row>
    <row r="660" spans="2:2" x14ac:dyDescent="0.2">
      <c r="B660" s="26"/>
    </row>
    <row r="661" spans="2:2" x14ac:dyDescent="0.2">
      <c r="B661" s="26"/>
    </row>
    <row r="662" spans="2:2" x14ac:dyDescent="0.2">
      <c r="B662" s="26"/>
    </row>
    <row r="663" spans="2:2" x14ac:dyDescent="0.2">
      <c r="B663" s="26"/>
    </row>
    <row r="664" spans="2:2" x14ac:dyDescent="0.2">
      <c r="B664" s="26"/>
    </row>
    <row r="665" spans="2:2" x14ac:dyDescent="0.2">
      <c r="B665" s="26"/>
    </row>
    <row r="666" spans="2:2" x14ac:dyDescent="0.2">
      <c r="B666" s="26"/>
    </row>
    <row r="667" spans="2:2" x14ac:dyDescent="0.2">
      <c r="B667" s="26"/>
    </row>
    <row r="668" spans="2:2" x14ac:dyDescent="0.2">
      <c r="B668" s="26"/>
    </row>
    <row r="669" spans="2:2" x14ac:dyDescent="0.2">
      <c r="B669" s="26"/>
    </row>
    <row r="670" spans="2:2" x14ac:dyDescent="0.2">
      <c r="B670" s="26"/>
    </row>
    <row r="671" spans="2:2" x14ac:dyDescent="0.2">
      <c r="B671" s="26"/>
    </row>
    <row r="672" spans="2:2" x14ac:dyDescent="0.2">
      <c r="B672" s="26"/>
    </row>
    <row r="673" spans="2:2" x14ac:dyDescent="0.2">
      <c r="B673" s="26"/>
    </row>
    <row r="674" spans="2:2" x14ac:dyDescent="0.2">
      <c r="B674" s="26"/>
    </row>
    <row r="675" spans="2:2" x14ac:dyDescent="0.2">
      <c r="B675" s="26"/>
    </row>
    <row r="676" spans="2:2" x14ac:dyDescent="0.2">
      <c r="B676" s="26"/>
    </row>
    <row r="677" spans="2:2" x14ac:dyDescent="0.2">
      <c r="B677" s="26"/>
    </row>
    <row r="678" spans="2:2" x14ac:dyDescent="0.2">
      <c r="B678" s="26"/>
    </row>
    <row r="679" spans="2:2" x14ac:dyDescent="0.2">
      <c r="B679" s="26"/>
    </row>
    <row r="680" spans="2:2" x14ac:dyDescent="0.2">
      <c r="B680" s="26"/>
    </row>
    <row r="681" spans="2:2" x14ac:dyDescent="0.2">
      <c r="B681" s="26"/>
    </row>
    <row r="682" spans="2:2" x14ac:dyDescent="0.2">
      <c r="B682" s="26"/>
    </row>
    <row r="683" spans="2:2" x14ac:dyDescent="0.2">
      <c r="B683" s="26"/>
    </row>
    <row r="684" spans="2:2" x14ac:dyDescent="0.2">
      <c r="B684" s="26"/>
    </row>
    <row r="685" spans="2:2" x14ac:dyDescent="0.2">
      <c r="B685" s="26"/>
    </row>
    <row r="686" spans="2:2" x14ac:dyDescent="0.2">
      <c r="B686" s="26"/>
    </row>
    <row r="687" spans="2:2" x14ac:dyDescent="0.2">
      <c r="B687" s="26"/>
    </row>
    <row r="688" spans="2:2" x14ac:dyDescent="0.2">
      <c r="B688" s="26"/>
    </row>
    <row r="689" spans="2:2" x14ac:dyDescent="0.2">
      <c r="B689" s="26"/>
    </row>
    <row r="690" spans="2:2" x14ac:dyDescent="0.2">
      <c r="B690" s="26"/>
    </row>
    <row r="691" spans="2:2" x14ac:dyDescent="0.2">
      <c r="B691" s="26"/>
    </row>
    <row r="692" spans="2:2" x14ac:dyDescent="0.2">
      <c r="B692" s="26"/>
    </row>
    <row r="693" spans="2:2" x14ac:dyDescent="0.2">
      <c r="B693" s="26"/>
    </row>
    <row r="694" spans="2:2" x14ac:dyDescent="0.2">
      <c r="B694" s="26"/>
    </row>
    <row r="695" spans="2:2" x14ac:dyDescent="0.2">
      <c r="B695" s="26"/>
    </row>
    <row r="696" spans="2:2" x14ac:dyDescent="0.2">
      <c r="B696" s="26"/>
    </row>
    <row r="697" spans="2:2" x14ac:dyDescent="0.2">
      <c r="B697" s="26"/>
    </row>
    <row r="698" spans="2:2" x14ac:dyDescent="0.2">
      <c r="B698" s="26"/>
    </row>
    <row r="699" spans="2:2" x14ac:dyDescent="0.2">
      <c r="B699" s="26"/>
    </row>
    <row r="700" spans="2:2" x14ac:dyDescent="0.2">
      <c r="B700" s="26"/>
    </row>
    <row r="701" spans="2:2" x14ac:dyDescent="0.2">
      <c r="B701" s="26"/>
    </row>
    <row r="702" spans="2:2" x14ac:dyDescent="0.2">
      <c r="B702" s="26"/>
    </row>
    <row r="703" spans="2:2" x14ac:dyDescent="0.2">
      <c r="B703" s="26"/>
    </row>
    <row r="704" spans="2:2" x14ac:dyDescent="0.2">
      <c r="B704" s="26"/>
    </row>
    <row r="705" spans="2:2" x14ac:dyDescent="0.2">
      <c r="B705" s="26"/>
    </row>
    <row r="706" spans="2:2" x14ac:dyDescent="0.2">
      <c r="B706" s="26"/>
    </row>
    <row r="707" spans="2:2" x14ac:dyDescent="0.2">
      <c r="B707" s="26"/>
    </row>
    <row r="708" spans="2:2" x14ac:dyDescent="0.2">
      <c r="B708" s="26"/>
    </row>
    <row r="709" spans="2:2" x14ac:dyDescent="0.2">
      <c r="B709" s="26"/>
    </row>
    <row r="710" spans="2:2" x14ac:dyDescent="0.2">
      <c r="B710" s="26"/>
    </row>
    <row r="711" spans="2:2" x14ac:dyDescent="0.2">
      <c r="B711" s="26"/>
    </row>
    <row r="712" spans="2:2" x14ac:dyDescent="0.2">
      <c r="B712" s="26"/>
    </row>
    <row r="713" spans="2:2" x14ac:dyDescent="0.2">
      <c r="B713" s="26"/>
    </row>
    <row r="714" spans="2:2" x14ac:dyDescent="0.2">
      <c r="B714" s="26"/>
    </row>
    <row r="715" spans="2:2" x14ac:dyDescent="0.2">
      <c r="B715" s="26"/>
    </row>
    <row r="716" spans="2:2" x14ac:dyDescent="0.2">
      <c r="B716" s="26"/>
    </row>
    <row r="717" spans="2:2" x14ac:dyDescent="0.2">
      <c r="B717" s="26"/>
    </row>
    <row r="718" spans="2:2" x14ac:dyDescent="0.2">
      <c r="B718" s="26"/>
    </row>
    <row r="719" spans="2:2" x14ac:dyDescent="0.2">
      <c r="B719" s="26"/>
    </row>
    <row r="720" spans="2:2" x14ac:dyDescent="0.2">
      <c r="B720" s="26"/>
    </row>
    <row r="721" spans="2:2" x14ac:dyDescent="0.2">
      <c r="B721" s="26"/>
    </row>
    <row r="722" spans="2:2" x14ac:dyDescent="0.2">
      <c r="B722" s="26"/>
    </row>
    <row r="723" spans="2:2" x14ac:dyDescent="0.2">
      <c r="B723" s="26"/>
    </row>
    <row r="724" spans="2:2" x14ac:dyDescent="0.2">
      <c r="B724" s="26"/>
    </row>
    <row r="725" spans="2:2" x14ac:dyDescent="0.2">
      <c r="B725" s="26"/>
    </row>
    <row r="726" spans="2:2" x14ac:dyDescent="0.2">
      <c r="B726" s="26"/>
    </row>
    <row r="727" spans="2:2" x14ac:dyDescent="0.2">
      <c r="B727" s="26"/>
    </row>
    <row r="728" spans="2:2" x14ac:dyDescent="0.2">
      <c r="B728" s="26"/>
    </row>
    <row r="729" spans="2:2" x14ac:dyDescent="0.2">
      <c r="B729" s="26"/>
    </row>
    <row r="730" spans="2:2" x14ac:dyDescent="0.2">
      <c r="B730" s="26"/>
    </row>
    <row r="731" spans="2:2" x14ac:dyDescent="0.2">
      <c r="B731" s="26"/>
    </row>
    <row r="732" spans="2:2" x14ac:dyDescent="0.2">
      <c r="B732" s="26"/>
    </row>
    <row r="733" spans="2:2" x14ac:dyDescent="0.2">
      <c r="B733" s="26"/>
    </row>
    <row r="734" spans="2:2" x14ac:dyDescent="0.2">
      <c r="B734" s="26"/>
    </row>
    <row r="735" spans="2:2" x14ac:dyDescent="0.2">
      <c r="B735" s="26"/>
    </row>
    <row r="736" spans="2:2" x14ac:dyDescent="0.2">
      <c r="B736" s="26"/>
    </row>
    <row r="737" spans="2:2" x14ac:dyDescent="0.2">
      <c r="B737" s="26"/>
    </row>
    <row r="738" spans="2:2" x14ac:dyDescent="0.2">
      <c r="B738" s="26"/>
    </row>
    <row r="739" spans="2:2" x14ac:dyDescent="0.2">
      <c r="B739" s="26"/>
    </row>
    <row r="740" spans="2:2" x14ac:dyDescent="0.2">
      <c r="B740" s="26"/>
    </row>
    <row r="741" spans="2:2" x14ac:dyDescent="0.2">
      <c r="B741" s="26"/>
    </row>
    <row r="742" spans="2:2" x14ac:dyDescent="0.2">
      <c r="B742" s="26"/>
    </row>
    <row r="743" spans="2:2" x14ac:dyDescent="0.2">
      <c r="B743" s="26"/>
    </row>
    <row r="744" spans="2:2" x14ac:dyDescent="0.2">
      <c r="B744" s="26"/>
    </row>
    <row r="745" spans="2:2" x14ac:dyDescent="0.2">
      <c r="B745" s="26"/>
    </row>
    <row r="746" spans="2:2" x14ac:dyDescent="0.2">
      <c r="B746" s="26"/>
    </row>
    <row r="747" spans="2:2" x14ac:dyDescent="0.2">
      <c r="B747" s="26"/>
    </row>
    <row r="748" spans="2:2" x14ac:dyDescent="0.2">
      <c r="B748" s="26"/>
    </row>
    <row r="749" spans="2:2" x14ac:dyDescent="0.2">
      <c r="B749" s="26"/>
    </row>
    <row r="750" spans="2:2" x14ac:dyDescent="0.2">
      <c r="B750" s="26"/>
    </row>
    <row r="751" spans="2:2" x14ac:dyDescent="0.2">
      <c r="B751" s="26"/>
    </row>
    <row r="752" spans="2:2" x14ac:dyDescent="0.2">
      <c r="B752" s="26"/>
    </row>
    <row r="753" spans="2:2" x14ac:dyDescent="0.2">
      <c r="B753" s="26"/>
    </row>
    <row r="754" spans="2:2" x14ac:dyDescent="0.2">
      <c r="B754" s="26"/>
    </row>
    <row r="755" spans="2:2" x14ac:dyDescent="0.2">
      <c r="B755" s="26"/>
    </row>
    <row r="756" spans="2:2" x14ac:dyDescent="0.2">
      <c r="B756" s="26"/>
    </row>
    <row r="757" spans="2:2" x14ac:dyDescent="0.2">
      <c r="B757" s="26"/>
    </row>
    <row r="758" spans="2:2" x14ac:dyDescent="0.2">
      <c r="B758" s="26"/>
    </row>
    <row r="759" spans="2:2" x14ac:dyDescent="0.2">
      <c r="B759" s="26"/>
    </row>
    <row r="760" spans="2:2" x14ac:dyDescent="0.2">
      <c r="B760" s="26"/>
    </row>
    <row r="761" spans="2:2" x14ac:dyDescent="0.2">
      <c r="B761" s="26"/>
    </row>
    <row r="762" spans="2:2" x14ac:dyDescent="0.2">
      <c r="B762" s="26"/>
    </row>
    <row r="763" spans="2:2" x14ac:dyDescent="0.2">
      <c r="B763" s="26"/>
    </row>
    <row r="764" spans="2:2" x14ac:dyDescent="0.2">
      <c r="B764" s="26"/>
    </row>
    <row r="765" spans="2:2" x14ac:dyDescent="0.2">
      <c r="B765" s="26"/>
    </row>
    <row r="766" spans="2:2" x14ac:dyDescent="0.2">
      <c r="B766" s="26"/>
    </row>
    <row r="767" spans="2:2" x14ac:dyDescent="0.2">
      <c r="B767" s="26"/>
    </row>
    <row r="768" spans="2:2" x14ac:dyDescent="0.2">
      <c r="B768" s="26"/>
    </row>
    <row r="769" spans="2:2" x14ac:dyDescent="0.2">
      <c r="B769" s="26"/>
    </row>
    <row r="770" spans="2:2" x14ac:dyDescent="0.2">
      <c r="B770" s="26"/>
    </row>
    <row r="771" spans="2:2" x14ac:dyDescent="0.2">
      <c r="B771" s="26"/>
    </row>
    <row r="772" spans="2:2" x14ac:dyDescent="0.2">
      <c r="B772" s="26"/>
    </row>
    <row r="773" spans="2:2" x14ac:dyDescent="0.2">
      <c r="B773" s="26"/>
    </row>
    <row r="774" spans="2:2" x14ac:dyDescent="0.2">
      <c r="B774" s="26"/>
    </row>
    <row r="775" spans="2:2" x14ac:dyDescent="0.2">
      <c r="B775" s="26"/>
    </row>
    <row r="776" spans="2:2" x14ac:dyDescent="0.2">
      <c r="B776" s="26"/>
    </row>
    <row r="777" spans="2:2" x14ac:dyDescent="0.2">
      <c r="B777" s="26"/>
    </row>
    <row r="778" spans="2:2" x14ac:dyDescent="0.2">
      <c r="B778" s="26"/>
    </row>
    <row r="779" spans="2:2" x14ac:dyDescent="0.2">
      <c r="B779" s="26"/>
    </row>
    <row r="780" spans="2:2" x14ac:dyDescent="0.2">
      <c r="B780" s="26"/>
    </row>
    <row r="781" spans="2:2" x14ac:dyDescent="0.2">
      <c r="B781" s="26"/>
    </row>
    <row r="782" spans="2:2" x14ac:dyDescent="0.2">
      <c r="B782" s="26"/>
    </row>
    <row r="783" spans="2:2" x14ac:dyDescent="0.2">
      <c r="B783" s="26"/>
    </row>
    <row r="784" spans="2:2" x14ac:dyDescent="0.2">
      <c r="B784" s="26"/>
    </row>
    <row r="785" spans="2:2" x14ac:dyDescent="0.2">
      <c r="B785" s="26"/>
    </row>
    <row r="786" spans="2:2" x14ac:dyDescent="0.2">
      <c r="B786" s="26"/>
    </row>
    <row r="787" spans="2:2" x14ac:dyDescent="0.2">
      <c r="B787" s="26"/>
    </row>
    <row r="788" spans="2:2" x14ac:dyDescent="0.2">
      <c r="B788" s="26"/>
    </row>
    <row r="789" spans="2:2" x14ac:dyDescent="0.2">
      <c r="B789" s="26"/>
    </row>
    <row r="790" spans="2:2" x14ac:dyDescent="0.2">
      <c r="B790" s="26"/>
    </row>
    <row r="791" spans="2:2" x14ac:dyDescent="0.2">
      <c r="B791" s="26"/>
    </row>
    <row r="792" spans="2:2" x14ac:dyDescent="0.2">
      <c r="B792" s="26"/>
    </row>
    <row r="793" spans="2:2" x14ac:dyDescent="0.2">
      <c r="B793" s="26"/>
    </row>
    <row r="794" spans="2:2" x14ac:dyDescent="0.2">
      <c r="B794" s="26"/>
    </row>
    <row r="795" spans="2:2" x14ac:dyDescent="0.2">
      <c r="B795" s="26"/>
    </row>
    <row r="796" spans="2:2" x14ac:dyDescent="0.2">
      <c r="B796" s="26"/>
    </row>
    <row r="797" spans="2:2" x14ac:dyDescent="0.2">
      <c r="B797" s="26"/>
    </row>
    <row r="798" spans="2:2" x14ac:dyDescent="0.2">
      <c r="B798" s="26"/>
    </row>
    <row r="799" spans="2:2" x14ac:dyDescent="0.2">
      <c r="B799" s="26"/>
    </row>
    <row r="800" spans="2:2" x14ac:dyDescent="0.2">
      <c r="B800" s="26"/>
    </row>
    <row r="801" spans="2:2" x14ac:dyDescent="0.2">
      <c r="B801" s="26"/>
    </row>
    <row r="802" spans="2:2" x14ac:dyDescent="0.2">
      <c r="B802" s="26"/>
    </row>
    <row r="803" spans="2:2" x14ac:dyDescent="0.2">
      <c r="B803" s="26"/>
    </row>
    <row r="804" spans="2:2" x14ac:dyDescent="0.2">
      <c r="B804" s="26"/>
    </row>
    <row r="805" spans="2:2" x14ac:dyDescent="0.2">
      <c r="B805" s="26"/>
    </row>
    <row r="806" spans="2:2" x14ac:dyDescent="0.2">
      <c r="B806" s="26"/>
    </row>
    <row r="807" spans="2:2" x14ac:dyDescent="0.2">
      <c r="B807" s="26"/>
    </row>
    <row r="808" spans="2:2" x14ac:dyDescent="0.2">
      <c r="B808" s="26"/>
    </row>
    <row r="809" spans="2:2" x14ac:dyDescent="0.2">
      <c r="B809" s="26"/>
    </row>
    <row r="810" spans="2:2" x14ac:dyDescent="0.2">
      <c r="B810" s="26"/>
    </row>
    <row r="811" spans="2:2" x14ac:dyDescent="0.2">
      <c r="B811" s="26"/>
    </row>
    <row r="812" spans="2:2" x14ac:dyDescent="0.2">
      <c r="B812" s="26"/>
    </row>
    <row r="813" spans="2:2" x14ac:dyDescent="0.2">
      <c r="B813" s="26"/>
    </row>
    <row r="814" spans="2:2" x14ac:dyDescent="0.2">
      <c r="B814" s="26"/>
    </row>
    <row r="815" spans="2:2" x14ac:dyDescent="0.2">
      <c r="B815" s="26"/>
    </row>
    <row r="816" spans="2:2" x14ac:dyDescent="0.2">
      <c r="B816" s="26"/>
    </row>
    <row r="817" spans="2:2" x14ac:dyDescent="0.2">
      <c r="B817" s="26"/>
    </row>
    <row r="818" spans="2:2" x14ac:dyDescent="0.2">
      <c r="B818" s="26"/>
    </row>
    <row r="819" spans="2:2" x14ac:dyDescent="0.2">
      <c r="B819" s="26"/>
    </row>
    <row r="820" spans="2:2" x14ac:dyDescent="0.2">
      <c r="B820" s="26"/>
    </row>
    <row r="821" spans="2:2" x14ac:dyDescent="0.2">
      <c r="B821" s="26"/>
    </row>
    <row r="822" spans="2:2" x14ac:dyDescent="0.2">
      <c r="B822" s="26"/>
    </row>
    <row r="823" spans="2:2" x14ac:dyDescent="0.2">
      <c r="B823" s="26"/>
    </row>
    <row r="824" spans="2:2" x14ac:dyDescent="0.2">
      <c r="B824" s="26"/>
    </row>
    <row r="825" spans="2:2" x14ac:dyDescent="0.2">
      <c r="B825" s="26"/>
    </row>
    <row r="826" spans="2:2" x14ac:dyDescent="0.2">
      <c r="B826" s="26"/>
    </row>
    <row r="827" spans="2:2" x14ac:dyDescent="0.2">
      <c r="B827" s="26"/>
    </row>
    <row r="828" spans="2:2" x14ac:dyDescent="0.2">
      <c r="B828" s="26"/>
    </row>
    <row r="829" spans="2:2" x14ac:dyDescent="0.2">
      <c r="B829" s="26"/>
    </row>
    <row r="830" spans="2:2" x14ac:dyDescent="0.2">
      <c r="B830" s="26"/>
    </row>
    <row r="831" spans="2:2" x14ac:dyDescent="0.2">
      <c r="B831" s="26"/>
    </row>
    <row r="832" spans="2:2" x14ac:dyDescent="0.2">
      <c r="B832" s="26"/>
    </row>
    <row r="833" spans="2:2" x14ac:dyDescent="0.2">
      <c r="B833" s="26"/>
    </row>
    <row r="834" spans="2:2" x14ac:dyDescent="0.2">
      <c r="B834" s="26"/>
    </row>
    <row r="835" spans="2:2" x14ac:dyDescent="0.2">
      <c r="B835" s="26"/>
    </row>
    <row r="836" spans="2:2" x14ac:dyDescent="0.2">
      <c r="B836" s="26"/>
    </row>
    <row r="837" spans="2:2" x14ac:dyDescent="0.2">
      <c r="B837" s="26"/>
    </row>
    <row r="838" spans="2:2" x14ac:dyDescent="0.2">
      <c r="B838" s="26"/>
    </row>
    <row r="839" spans="2:2" x14ac:dyDescent="0.2">
      <c r="B839" s="26"/>
    </row>
    <row r="840" spans="2:2" x14ac:dyDescent="0.2">
      <c r="B840" s="26"/>
    </row>
    <row r="841" spans="2:2" x14ac:dyDescent="0.2">
      <c r="B841" s="26"/>
    </row>
    <row r="842" spans="2:2" x14ac:dyDescent="0.2">
      <c r="B842" s="26"/>
    </row>
    <row r="843" spans="2:2" x14ac:dyDescent="0.2">
      <c r="B843" s="26"/>
    </row>
    <row r="844" spans="2:2" x14ac:dyDescent="0.2">
      <c r="B844" s="26"/>
    </row>
    <row r="845" spans="2:2" x14ac:dyDescent="0.2">
      <c r="B845" s="26"/>
    </row>
    <row r="846" spans="2:2" x14ac:dyDescent="0.2">
      <c r="B846" s="26"/>
    </row>
    <row r="847" spans="2:2" x14ac:dyDescent="0.2">
      <c r="B847" s="26"/>
    </row>
    <row r="848" spans="2:2" x14ac:dyDescent="0.2">
      <c r="B848" s="26"/>
    </row>
    <row r="849" spans="2:2" x14ac:dyDescent="0.2">
      <c r="B849" s="26"/>
    </row>
    <row r="850" spans="2:2" x14ac:dyDescent="0.2">
      <c r="B850" s="26"/>
    </row>
    <row r="851" spans="2:2" x14ac:dyDescent="0.2">
      <c r="B851" s="26"/>
    </row>
    <row r="852" spans="2:2" x14ac:dyDescent="0.2">
      <c r="B852" s="26"/>
    </row>
    <row r="853" spans="2:2" x14ac:dyDescent="0.2">
      <c r="B853" s="26"/>
    </row>
    <row r="854" spans="2:2" x14ac:dyDescent="0.2">
      <c r="B854" s="26"/>
    </row>
    <row r="855" spans="2:2" x14ac:dyDescent="0.2">
      <c r="B855" s="26"/>
    </row>
    <row r="856" spans="2:2" x14ac:dyDescent="0.2">
      <c r="B856" s="26"/>
    </row>
    <row r="857" spans="2:2" x14ac:dyDescent="0.2">
      <c r="B857" s="26"/>
    </row>
    <row r="858" spans="2:2" x14ac:dyDescent="0.2">
      <c r="B858" s="26"/>
    </row>
    <row r="859" spans="2:2" x14ac:dyDescent="0.2">
      <c r="B859" s="26"/>
    </row>
    <row r="860" spans="2:2" x14ac:dyDescent="0.2">
      <c r="B860" s="26"/>
    </row>
    <row r="861" spans="2:2" x14ac:dyDescent="0.2">
      <c r="B861" s="26"/>
    </row>
    <row r="862" spans="2:2" x14ac:dyDescent="0.2">
      <c r="B862" s="26"/>
    </row>
    <row r="863" spans="2:2" x14ac:dyDescent="0.2">
      <c r="B863" s="26"/>
    </row>
    <row r="864" spans="2:2" x14ac:dyDescent="0.2">
      <c r="B864" s="26"/>
    </row>
    <row r="865" spans="2:2" x14ac:dyDescent="0.2">
      <c r="B865" s="26"/>
    </row>
    <row r="866" spans="2:2" x14ac:dyDescent="0.2">
      <c r="B866" s="26"/>
    </row>
    <row r="867" spans="2:2" x14ac:dyDescent="0.2">
      <c r="B867" s="26"/>
    </row>
    <row r="868" spans="2:2" x14ac:dyDescent="0.2">
      <c r="B868" s="26"/>
    </row>
    <row r="869" spans="2:2" x14ac:dyDescent="0.2">
      <c r="B869" s="26"/>
    </row>
    <row r="870" spans="2:2" x14ac:dyDescent="0.2">
      <c r="B870" s="26"/>
    </row>
    <row r="871" spans="2:2" x14ac:dyDescent="0.2">
      <c r="B871" s="26"/>
    </row>
    <row r="872" spans="2:2" x14ac:dyDescent="0.2">
      <c r="B872" s="26"/>
    </row>
    <row r="873" spans="2:2" x14ac:dyDescent="0.2">
      <c r="B873" s="26"/>
    </row>
    <row r="874" spans="2:2" x14ac:dyDescent="0.2">
      <c r="B874" s="26"/>
    </row>
    <row r="875" spans="2:2" x14ac:dyDescent="0.2">
      <c r="B875" s="26"/>
    </row>
    <row r="876" spans="2:2" x14ac:dyDescent="0.2">
      <c r="B876" s="26"/>
    </row>
    <row r="877" spans="2:2" x14ac:dyDescent="0.2">
      <c r="B877" s="26"/>
    </row>
    <row r="878" spans="2:2" x14ac:dyDescent="0.2">
      <c r="B878" s="26"/>
    </row>
    <row r="879" spans="2:2" x14ac:dyDescent="0.2">
      <c r="B879" s="26"/>
    </row>
    <row r="880" spans="2:2" x14ac:dyDescent="0.2">
      <c r="B880" s="26"/>
    </row>
    <row r="881" spans="2:2" x14ac:dyDescent="0.2">
      <c r="B881" s="26"/>
    </row>
    <row r="882" spans="2:2" x14ac:dyDescent="0.2">
      <c r="B882" s="26"/>
    </row>
    <row r="883" spans="2:2" x14ac:dyDescent="0.2">
      <c r="B883" s="26"/>
    </row>
    <row r="884" spans="2:2" x14ac:dyDescent="0.2">
      <c r="B884" s="26"/>
    </row>
    <row r="885" spans="2:2" x14ac:dyDescent="0.2">
      <c r="B885" s="26"/>
    </row>
    <row r="886" spans="2:2" x14ac:dyDescent="0.2">
      <c r="B886" s="26"/>
    </row>
    <row r="887" spans="2:2" x14ac:dyDescent="0.2">
      <c r="B887" s="26"/>
    </row>
    <row r="888" spans="2:2" x14ac:dyDescent="0.2">
      <c r="B888" s="26"/>
    </row>
    <row r="889" spans="2:2" x14ac:dyDescent="0.2">
      <c r="B889" s="26"/>
    </row>
    <row r="890" spans="2:2" x14ac:dyDescent="0.2">
      <c r="B890" s="26"/>
    </row>
    <row r="891" spans="2:2" x14ac:dyDescent="0.2">
      <c r="B891" s="26"/>
    </row>
    <row r="892" spans="2:2" x14ac:dyDescent="0.2">
      <c r="B892" s="26"/>
    </row>
    <row r="893" spans="2:2" x14ac:dyDescent="0.2">
      <c r="B893" s="26"/>
    </row>
    <row r="894" spans="2:2" x14ac:dyDescent="0.2">
      <c r="B894" s="26"/>
    </row>
    <row r="895" spans="2:2" x14ac:dyDescent="0.2">
      <c r="B895" s="26"/>
    </row>
    <row r="896" spans="2:2" x14ac:dyDescent="0.2">
      <c r="B896" s="26"/>
    </row>
    <row r="897" spans="2:2" x14ac:dyDescent="0.2">
      <c r="B897" s="26"/>
    </row>
    <row r="898" spans="2:2" x14ac:dyDescent="0.2">
      <c r="B898" s="26"/>
    </row>
    <row r="899" spans="2:2" x14ac:dyDescent="0.2">
      <c r="B899" s="26"/>
    </row>
    <row r="900" spans="2:2" x14ac:dyDescent="0.2">
      <c r="B900" s="26"/>
    </row>
    <row r="901" spans="2:2" x14ac:dyDescent="0.2">
      <c r="B901" s="26"/>
    </row>
    <row r="902" spans="2:2" x14ac:dyDescent="0.2">
      <c r="B902" s="26"/>
    </row>
    <row r="903" spans="2:2" x14ac:dyDescent="0.2">
      <c r="B903" s="26"/>
    </row>
    <row r="904" spans="2:2" x14ac:dyDescent="0.2">
      <c r="B904" s="26"/>
    </row>
    <row r="905" spans="2:2" x14ac:dyDescent="0.2">
      <c r="B905" s="26"/>
    </row>
    <row r="906" spans="2:2" x14ac:dyDescent="0.2">
      <c r="B906" s="26"/>
    </row>
    <row r="907" spans="2:2" x14ac:dyDescent="0.2">
      <c r="B907" s="26"/>
    </row>
    <row r="908" spans="2:2" x14ac:dyDescent="0.2">
      <c r="B908" s="26"/>
    </row>
    <row r="909" spans="2:2" x14ac:dyDescent="0.2">
      <c r="B909" s="26"/>
    </row>
    <row r="910" spans="2:2" x14ac:dyDescent="0.2">
      <c r="B910" s="26"/>
    </row>
    <row r="911" spans="2:2" x14ac:dyDescent="0.2">
      <c r="B911" s="26"/>
    </row>
    <row r="912" spans="2:2" x14ac:dyDescent="0.2">
      <c r="B912" s="26"/>
    </row>
    <row r="913" spans="2:2" x14ac:dyDescent="0.2">
      <c r="B913" s="26"/>
    </row>
    <row r="914" spans="2:2" x14ac:dyDescent="0.2">
      <c r="B914" s="26"/>
    </row>
    <row r="915" spans="2:2" x14ac:dyDescent="0.2">
      <c r="B915" s="26"/>
    </row>
    <row r="916" spans="2:2" x14ac:dyDescent="0.2">
      <c r="B916" s="26"/>
    </row>
    <row r="917" spans="2:2" x14ac:dyDescent="0.2">
      <c r="B917" s="26"/>
    </row>
    <row r="918" spans="2:2" x14ac:dyDescent="0.2">
      <c r="B918" s="26"/>
    </row>
    <row r="919" spans="2:2" x14ac:dyDescent="0.2">
      <c r="B919" s="26"/>
    </row>
    <row r="920" spans="2:2" x14ac:dyDescent="0.2">
      <c r="B920" s="26"/>
    </row>
    <row r="921" spans="2:2" x14ac:dyDescent="0.2">
      <c r="B921" s="26"/>
    </row>
    <row r="922" spans="2:2" x14ac:dyDescent="0.2">
      <c r="B922" s="26"/>
    </row>
    <row r="923" spans="2:2" x14ac:dyDescent="0.2">
      <c r="B923" s="26"/>
    </row>
    <row r="924" spans="2:2" x14ac:dyDescent="0.2">
      <c r="B924" s="26"/>
    </row>
    <row r="925" spans="2:2" x14ac:dyDescent="0.2">
      <c r="B925" s="26"/>
    </row>
    <row r="926" spans="2:2" x14ac:dyDescent="0.2">
      <c r="B926" s="26"/>
    </row>
    <row r="927" spans="2:2" x14ac:dyDescent="0.2">
      <c r="B927" s="26"/>
    </row>
    <row r="928" spans="2:2" x14ac:dyDescent="0.2">
      <c r="B928" s="26"/>
    </row>
    <row r="929" spans="2:2" x14ac:dyDescent="0.2">
      <c r="B929" s="26"/>
    </row>
    <row r="930" spans="2:2" x14ac:dyDescent="0.2">
      <c r="B930" s="26"/>
    </row>
    <row r="931" spans="2:2" x14ac:dyDescent="0.2">
      <c r="B931" s="26"/>
    </row>
    <row r="932" spans="2:2" x14ac:dyDescent="0.2">
      <c r="B932" s="26"/>
    </row>
    <row r="933" spans="2:2" x14ac:dyDescent="0.2">
      <c r="B933" s="26"/>
    </row>
    <row r="934" spans="2:2" x14ac:dyDescent="0.2">
      <c r="B934" s="26"/>
    </row>
    <row r="935" spans="2:2" x14ac:dyDescent="0.2">
      <c r="B935" s="26"/>
    </row>
    <row r="936" spans="2:2" x14ac:dyDescent="0.2">
      <c r="B936" s="26"/>
    </row>
    <row r="937" spans="2:2" x14ac:dyDescent="0.2">
      <c r="B937" s="26"/>
    </row>
    <row r="938" spans="2:2" x14ac:dyDescent="0.2">
      <c r="B938" s="26"/>
    </row>
    <row r="939" spans="2:2" x14ac:dyDescent="0.2">
      <c r="B939" s="26"/>
    </row>
    <row r="940" spans="2:2" x14ac:dyDescent="0.2">
      <c r="B940" s="26"/>
    </row>
    <row r="941" spans="2:2" x14ac:dyDescent="0.2">
      <c r="B941" s="26"/>
    </row>
    <row r="942" spans="2:2" x14ac:dyDescent="0.2">
      <c r="B942" s="26"/>
    </row>
    <row r="943" spans="2:2" x14ac:dyDescent="0.2">
      <c r="B943" s="26"/>
    </row>
    <row r="944" spans="2:2" x14ac:dyDescent="0.2">
      <c r="B944" s="26"/>
    </row>
    <row r="945" spans="2:2" x14ac:dyDescent="0.2">
      <c r="B945" s="26"/>
    </row>
    <row r="946" spans="2:2" x14ac:dyDescent="0.2">
      <c r="B946" s="26"/>
    </row>
    <row r="947" spans="2:2" x14ac:dyDescent="0.2">
      <c r="B947" s="26"/>
    </row>
    <row r="948" spans="2:2" x14ac:dyDescent="0.2">
      <c r="B948" s="26"/>
    </row>
    <row r="949" spans="2:2" x14ac:dyDescent="0.2">
      <c r="B949" s="26"/>
    </row>
    <row r="950" spans="2:2" x14ac:dyDescent="0.2">
      <c r="B950" s="26"/>
    </row>
    <row r="951" spans="2:2" x14ac:dyDescent="0.2">
      <c r="B951" s="26"/>
    </row>
    <row r="952" spans="2:2" x14ac:dyDescent="0.2">
      <c r="B952" s="26"/>
    </row>
    <row r="953" spans="2:2" x14ac:dyDescent="0.2">
      <c r="B953" s="26"/>
    </row>
    <row r="954" spans="2:2" x14ac:dyDescent="0.2">
      <c r="B954" s="26"/>
    </row>
    <row r="955" spans="2:2" x14ac:dyDescent="0.2">
      <c r="B955" s="26"/>
    </row>
    <row r="956" spans="2:2" x14ac:dyDescent="0.2">
      <c r="B956" s="26"/>
    </row>
    <row r="957" spans="2:2" x14ac:dyDescent="0.2">
      <c r="B957" s="26"/>
    </row>
    <row r="958" spans="2:2" x14ac:dyDescent="0.2">
      <c r="B958" s="26"/>
    </row>
    <row r="959" spans="2:2" x14ac:dyDescent="0.2">
      <c r="B959" s="26"/>
    </row>
    <row r="960" spans="2:2" x14ac:dyDescent="0.2">
      <c r="B960" s="26"/>
    </row>
    <row r="961" spans="2:2" x14ac:dyDescent="0.2">
      <c r="B961" s="26"/>
    </row>
    <row r="962" spans="2:2" x14ac:dyDescent="0.2">
      <c r="B962" s="26"/>
    </row>
    <row r="963" spans="2:2" x14ac:dyDescent="0.2">
      <c r="B963" s="26"/>
    </row>
    <row r="964" spans="2:2" x14ac:dyDescent="0.2">
      <c r="B964" s="26"/>
    </row>
    <row r="965" spans="2:2" x14ac:dyDescent="0.2">
      <c r="B965" s="26"/>
    </row>
    <row r="966" spans="2:2" x14ac:dyDescent="0.2">
      <c r="B966" s="26"/>
    </row>
    <row r="967" spans="2:2" x14ac:dyDescent="0.2">
      <c r="B967" s="26"/>
    </row>
    <row r="968" spans="2:2" x14ac:dyDescent="0.2">
      <c r="B968" s="26"/>
    </row>
    <row r="969" spans="2:2" x14ac:dyDescent="0.2">
      <c r="B969" s="26"/>
    </row>
    <row r="970" spans="2:2" x14ac:dyDescent="0.2">
      <c r="B970" s="26"/>
    </row>
    <row r="971" spans="2:2" x14ac:dyDescent="0.2">
      <c r="B971" s="26"/>
    </row>
    <row r="972" spans="2:2" x14ac:dyDescent="0.2">
      <c r="B972" s="26"/>
    </row>
    <row r="973" spans="2:2" x14ac:dyDescent="0.2">
      <c r="B973" s="26"/>
    </row>
    <row r="974" spans="2:2" x14ac:dyDescent="0.2">
      <c r="B974" s="26"/>
    </row>
    <row r="975" spans="2:2" x14ac:dyDescent="0.2">
      <c r="B975" s="26"/>
    </row>
    <row r="976" spans="2:2" x14ac:dyDescent="0.2">
      <c r="B976" s="26"/>
    </row>
    <row r="977" spans="2:2" x14ac:dyDescent="0.2">
      <c r="B977" s="26"/>
    </row>
    <row r="978" spans="2:2" x14ac:dyDescent="0.2">
      <c r="B978" s="26"/>
    </row>
    <row r="979" spans="2:2" x14ac:dyDescent="0.2">
      <c r="B979" s="26"/>
    </row>
    <row r="980" spans="2:2" x14ac:dyDescent="0.2">
      <c r="B980" s="26"/>
    </row>
    <row r="981" spans="2:2" x14ac:dyDescent="0.2">
      <c r="B981" s="26"/>
    </row>
    <row r="982" spans="2:2" x14ac:dyDescent="0.2">
      <c r="B982" s="26"/>
    </row>
    <row r="983" spans="2:2" x14ac:dyDescent="0.2">
      <c r="B983" s="26"/>
    </row>
    <row r="984" spans="2:2" x14ac:dyDescent="0.2">
      <c r="B984" s="26"/>
    </row>
    <row r="985" spans="2:2" x14ac:dyDescent="0.2">
      <c r="B985" s="26"/>
    </row>
    <row r="986" spans="2:2" x14ac:dyDescent="0.2">
      <c r="B986" s="26"/>
    </row>
    <row r="987" spans="2:2" x14ac:dyDescent="0.2">
      <c r="B987" s="26"/>
    </row>
    <row r="988" spans="2:2" x14ac:dyDescent="0.2">
      <c r="B988" s="26"/>
    </row>
    <row r="989" spans="2:2" x14ac:dyDescent="0.2">
      <c r="B989" s="26"/>
    </row>
    <row r="990" spans="2:2" x14ac:dyDescent="0.2">
      <c r="B990" s="26"/>
    </row>
    <row r="991" spans="2:2" x14ac:dyDescent="0.2">
      <c r="B991" s="26"/>
    </row>
    <row r="992" spans="2:2" x14ac:dyDescent="0.2">
      <c r="B992" s="26"/>
    </row>
    <row r="993" spans="2:2" x14ac:dyDescent="0.2">
      <c r="B993" s="26"/>
    </row>
    <row r="994" spans="2:2" x14ac:dyDescent="0.2">
      <c r="B994" s="26"/>
    </row>
    <row r="995" spans="2:2" x14ac:dyDescent="0.2">
      <c r="B995" s="26"/>
    </row>
    <row r="996" spans="2:2" x14ac:dyDescent="0.2">
      <c r="B996" s="26"/>
    </row>
    <row r="997" spans="2:2" x14ac:dyDescent="0.2">
      <c r="B997" s="26"/>
    </row>
    <row r="998" spans="2:2" x14ac:dyDescent="0.2">
      <c r="B998" s="26"/>
    </row>
    <row r="999" spans="2:2" x14ac:dyDescent="0.2">
      <c r="B999" s="26"/>
    </row>
    <row r="1000" spans="2:2" x14ac:dyDescent="0.2">
      <c r="B1000" s="26"/>
    </row>
    <row r="1001" spans="2:2" x14ac:dyDescent="0.2">
      <c r="B1001" s="26"/>
    </row>
    <row r="1002" spans="2:2" x14ac:dyDescent="0.2">
      <c r="B1002" s="26"/>
    </row>
    <row r="1003" spans="2:2" x14ac:dyDescent="0.2">
      <c r="B1003" s="26"/>
    </row>
    <row r="1004" spans="2:2" x14ac:dyDescent="0.2">
      <c r="B1004" s="26"/>
    </row>
    <row r="1005" spans="2:2" x14ac:dyDescent="0.2">
      <c r="B1005" s="26"/>
    </row>
    <row r="1006" spans="2:2" x14ac:dyDescent="0.2">
      <c r="B1006" s="26"/>
    </row>
    <row r="1007" spans="2:2" x14ac:dyDescent="0.2">
      <c r="B1007" s="26"/>
    </row>
    <row r="1008" spans="2:2" x14ac:dyDescent="0.2">
      <c r="B1008" s="26"/>
    </row>
    <row r="1009" spans="2:2" x14ac:dyDescent="0.2">
      <c r="B1009" s="26"/>
    </row>
    <row r="1010" spans="2:2" x14ac:dyDescent="0.2">
      <c r="B1010" s="26"/>
    </row>
    <row r="1011" spans="2:2" x14ac:dyDescent="0.2">
      <c r="B1011" s="26"/>
    </row>
    <row r="1012" spans="2:2" x14ac:dyDescent="0.2">
      <c r="B1012" s="26"/>
    </row>
    <row r="1013" spans="2:2" x14ac:dyDescent="0.2">
      <c r="B1013" s="26"/>
    </row>
    <row r="1014" spans="2:2" x14ac:dyDescent="0.2">
      <c r="B1014" s="26"/>
    </row>
    <row r="1015" spans="2:2" x14ac:dyDescent="0.2">
      <c r="B1015" s="26"/>
    </row>
    <row r="1016" spans="2:2" x14ac:dyDescent="0.2">
      <c r="B1016" s="26"/>
    </row>
    <row r="1017" spans="2:2" x14ac:dyDescent="0.2">
      <c r="B1017" s="26"/>
    </row>
    <row r="1018" spans="2:2" x14ac:dyDescent="0.2">
      <c r="B1018" s="26"/>
    </row>
    <row r="1019" spans="2:2" x14ac:dyDescent="0.2">
      <c r="B1019" s="26"/>
    </row>
    <row r="1020" spans="2:2" x14ac:dyDescent="0.2">
      <c r="B1020" s="26"/>
    </row>
    <row r="1021" spans="2:2" x14ac:dyDescent="0.2">
      <c r="B1021" s="26"/>
    </row>
    <row r="1022" spans="2:2" x14ac:dyDescent="0.2">
      <c r="B1022" s="26"/>
    </row>
    <row r="1023" spans="2:2" x14ac:dyDescent="0.2">
      <c r="B1023" s="26"/>
    </row>
    <row r="1024" spans="2:2" x14ac:dyDescent="0.2">
      <c r="B1024" s="26"/>
    </row>
    <row r="1025" spans="2:2" x14ac:dyDescent="0.2">
      <c r="B1025" s="26"/>
    </row>
    <row r="1026" spans="2:2" x14ac:dyDescent="0.2">
      <c r="B1026" s="26"/>
    </row>
    <row r="1027" spans="2:2" x14ac:dyDescent="0.2">
      <c r="B1027" s="26"/>
    </row>
    <row r="1028" spans="2:2" x14ac:dyDescent="0.2">
      <c r="B1028" s="26"/>
    </row>
    <row r="1029" spans="2:2" x14ac:dyDescent="0.2">
      <c r="B1029" s="26"/>
    </row>
    <row r="1030" spans="2:2" x14ac:dyDescent="0.2">
      <c r="B1030" s="26"/>
    </row>
    <row r="1031" spans="2:2" x14ac:dyDescent="0.2">
      <c r="B1031" s="26"/>
    </row>
    <row r="1032" spans="2:2" x14ac:dyDescent="0.2">
      <c r="B1032" s="26"/>
    </row>
    <row r="1033" spans="2:2" x14ac:dyDescent="0.2">
      <c r="B1033" s="26"/>
    </row>
    <row r="1034" spans="2:2" x14ac:dyDescent="0.2">
      <c r="B1034" s="26"/>
    </row>
    <row r="1035" spans="2:2" x14ac:dyDescent="0.2">
      <c r="B1035" s="26"/>
    </row>
    <row r="1036" spans="2:2" x14ac:dyDescent="0.2">
      <c r="B1036" s="26"/>
    </row>
    <row r="1037" spans="2:2" x14ac:dyDescent="0.2">
      <c r="B1037" s="26"/>
    </row>
    <row r="1038" spans="2:2" x14ac:dyDescent="0.2">
      <c r="B1038" s="26"/>
    </row>
    <row r="1039" spans="2:2" x14ac:dyDescent="0.2">
      <c r="B1039" s="26"/>
    </row>
    <row r="1040" spans="2:2" x14ac:dyDescent="0.2">
      <c r="B1040" s="26"/>
    </row>
    <row r="1041" spans="2:2" x14ac:dyDescent="0.2">
      <c r="B1041" s="26"/>
    </row>
    <row r="1042" spans="2:2" x14ac:dyDescent="0.2">
      <c r="B1042" s="26"/>
    </row>
    <row r="1043" spans="2:2" x14ac:dyDescent="0.2">
      <c r="B1043" s="26"/>
    </row>
    <row r="1044" spans="2:2" x14ac:dyDescent="0.2">
      <c r="B1044" s="26"/>
    </row>
    <row r="1045" spans="2:2" x14ac:dyDescent="0.2">
      <c r="B1045" s="26"/>
    </row>
    <row r="1046" spans="2:2" x14ac:dyDescent="0.2">
      <c r="B1046" s="26"/>
    </row>
    <row r="1047" spans="2:2" x14ac:dyDescent="0.2">
      <c r="B1047" s="26"/>
    </row>
    <row r="1048" spans="2:2" x14ac:dyDescent="0.2">
      <c r="B1048" s="26"/>
    </row>
    <row r="1049" spans="2:2" x14ac:dyDescent="0.2">
      <c r="B1049" s="26"/>
    </row>
    <row r="1050" spans="2:2" x14ac:dyDescent="0.2">
      <c r="B1050" s="26"/>
    </row>
    <row r="1051" spans="2:2" x14ac:dyDescent="0.2">
      <c r="B1051" s="26"/>
    </row>
    <row r="1052" spans="2:2" x14ac:dyDescent="0.2">
      <c r="B1052" s="26"/>
    </row>
    <row r="1053" spans="2:2" x14ac:dyDescent="0.2">
      <c r="B1053" s="26"/>
    </row>
    <row r="1054" spans="2:2" x14ac:dyDescent="0.2">
      <c r="B1054" s="26"/>
    </row>
    <row r="1055" spans="2:2" x14ac:dyDescent="0.2">
      <c r="B1055" s="26"/>
    </row>
    <row r="1056" spans="2:2" x14ac:dyDescent="0.2">
      <c r="B1056" s="26"/>
    </row>
  </sheetData>
  <phoneticPr fontId="0" type="noConversion"/>
  <pageMargins left="0.75" right="0.75" top="1" bottom="1" header="0.5" footer="0.5"/>
  <pageSetup paperSize="9" orientation="portrait" horizontalDpi="4294967294" verticalDpi="300" r:id="rId1"/>
  <headerFooter alignWithMargins="0"/>
  <drawing r:id="rId2"/>
  <legacyDrawing r:id="rId3"/>
  <controls>
    <mc:AlternateContent xmlns:mc="http://schemas.openxmlformats.org/markup-compatibility/2006">
      <mc:Choice Requires="x14">
        <control shapeId="5129" r:id="rId4" name="CheckBox1">
          <controlPr locked="0" defaultSize="0" autoLine="0" r:id="rId5">
            <anchor moveWithCells="1">
              <from>
                <xdr:col>1</xdr:col>
                <xdr:colOff>257175</xdr:colOff>
                <xdr:row>2</xdr:row>
                <xdr:rowOff>809625</xdr:rowOff>
              </from>
              <to>
                <xdr:col>3</xdr:col>
                <xdr:colOff>638175</xdr:colOff>
                <xdr:row>2</xdr:row>
                <xdr:rowOff>1028700</xdr:rowOff>
              </to>
            </anchor>
          </controlPr>
        </control>
      </mc:Choice>
      <mc:Fallback>
        <control shapeId="5129" r:id="rId4" name="CheckBox1"/>
      </mc:Fallback>
    </mc:AlternateContent>
    <mc:AlternateContent xmlns:mc="http://schemas.openxmlformats.org/markup-compatibility/2006">
      <mc:Choice Requires="x14">
        <control shapeId="5121" r:id="rId6" name="Button 1">
          <controlPr defaultSize="0" print="0" autoFill="0" autoLine="0" autoPict="0" macro="[0]!Multiple">
            <anchor>
              <from>
                <xdr:col>1</xdr:col>
                <xdr:colOff>266700</xdr:colOff>
                <xdr:row>2</xdr:row>
                <xdr:rowOff>47625</xdr:rowOff>
              </from>
              <to>
                <xdr:col>2</xdr:col>
                <xdr:colOff>219075</xdr:colOff>
                <xdr:row>2</xdr:row>
                <xdr:rowOff>733425</xdr:rowOff>
              </to>
            </anchor>
          </controlPr>
        </control>
      </mc:Choice>
    </mc:AlternateContent>
    <mc:AlternateContent xmlns:mc="http://schemas.openxmlformats.org/markup-compatibility/2006">
      <mc:Choice Requires="x14">
        <control shapeId="5122" r:id="rId7" name="Button 2">
          <controlPr defaultSize="0" print="0" autoFill="0" autoLine="0" autoPict="0" macro="[0]!HalfPhi2">
            <anchor>
              <from>
                <xdr:col>5</xdr:col>
                <xdr:colOff>142875</xdr:colOff>
                <xdr:row>2</xdr:row>
                <xdr:rowOff>76200</xdr:rowOff>
              </from>
              <to>
                <xdr:col>7</xdr:col>
                <xdr:colOff>104775</xdr:colOff>
                <xdr:row>2</xdr:row>
                <xdr:rowOff>361950</xdr:rowOff>
              </to>
            </anchor>
          </controlPr>
        </control>
      </mc:Choice>
    </mc:AlternateContent>
    <mc:AlternateContent xmlns:mc="http://schemas.openxmlformats.org/markup-compatibility/2006">
      <mc:Choice Requires="x14">
        <control shapeId="5123" r:id="rId8" name="Button 3">
          <controlPr defaultSize="0" print="0" autoFill="0" autoLine="0" autoPict="0" macro="[0]!QuarterPhi2">
            <anchor>
              <from>
                <xdr:col>5</xdr:col>
                <xdr:colOff>142875</xdr:colOff>
                <xdr:row>2</xdr:row>
                <xdr:rowOff>485775</xdr:rowOff>
              </from>
              <to>
                <xdr:col>7</xdr:col>
                <xdr:colOff>95250</xdr:colOff>
                <xdr:row>2</xdr:row>
                <xdr:rowOff>742950</xdr:rowOff>
              </to>
            </anchor>
          </controlPr>
        </control>
      </mc:Choice>
    </mc:AlternateContent>
    <mc:AlternateContent xmlns:mc="http://schemas.openxmlformats.org/markup-compatibility/2006">
      <mc:Choice Requires="x14">
        <control shapeId="5124" r:id="rId9" name="Button 4">
          <controlPr defaultSize="0" print="0" autoFill="0" autoLine="0" autoPict="0" macro="[0]!Laser2">
            <anchor>
              <from>
                <xdr:col>5</xdr:col>
                <xdr:colOff>133350</xdr:colOff>
                <xdr:row>2</xdr:row>
                <xdr:rowOff>857250</xdr:rowOff>
              </from>
              <to>
                <xdr:col>7</xdr:col>
                <xdr:colOff>95250</xdr:colOff>
                <xdr:row>3</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IV76"/>
  <sheetViews>
    <sheetView showGridLines="0" workbookViewId="0"/>
  </sheetViews>
  <sheetFormatPr defaultColWidth="28.7109375" defaultRowHeight="12.75" x14ac:dyDescent="0.2"/>
  <cols>
    <col min="1" max="1" width="16" style="30" customWidth="1"/>
    <col min="2" max="2" width="23.28515625" style="30" customWidth="1"/>
    <col min="3" max="16384" width="28.7109375" style="30"/>
  </cols>
  <sheetData>
    <row r="2" spans="1:256" ht="15.75" x14ac:dyDescent="0.25">
      <c r="B2" s="35" t="s">
        <v>60</v>
      </c>
    </row>
    <row r="3" spans="1:256" ht="13.5" thickBot="1" x14ac:dyDescent="0.25"/>
    <row r="4" spans="1:256" s="49" customFormat="1" ht="14.25" customHeight="1" thickBot="1" x14ac:dyDescent="0.25">
      <c r="A4" s="30"/>
      <c r="B4" s="30"/>
      <c r="C4" s="48"/>
    </row>
    <row r="5" spans="1:256" s="52" customFormat="1" ht="13.5" customHeight="1" x14ac:dyDescent="0.2">
      <c r="A5" s="66"/>
      <c r="B5" s="82" t="s">
        <v>76</v>
      </c>
      <c r="C5" s="50"/>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c r="AQ5" s="51"/>
      <c r="AR5" s="51"/>
      <c r="AS5" s="51"/>
      <c r="AT5" s="51"/>
      <c r="AU5" s="51"/>
      <c r="AV5" s="51"/>
      <c r="AW5" s="51"/>
      <c r="AX5" s="51"/>
      <c r="AY5" s="51"/>
      <c r="AZ5" s="51"/>
      <c r="BA5" s="51"/>
      <c r="BB5" s="51"/>
      <c r="BC5" s="51"/>
      <c r="BD5" s="51"/>
      <c r="BE5" s="51"/>
      <c r="BF5" s="51"/>
      <c r="BG5" s="51"/>
      <c r="BH5" s="51"/>
      <c r="BI5" s="51"/>
      <c r="BJ5" s="51"/>
      <c r="BK5" s="51"/>
      <c r="BL5" s="51"/>
      <c r="BM5" s="51"/>
      <c r="BN5" s="51"/>
      <c r="BO5" s="51"/>
      <c r="BP5" s="51"/>
      <c r="BQ5" s="51"/>
      <c r="BR5" s="51"/>
      <c r="BS5" s="51"/>
      <c r="BT5" s="51"/>
      <c r="BU5" s="51"/>
      <c r="BV5" s="51"/>
      <c r="BW5" s="51"/>
      <c r="BX5" s="51"/>
      <c r="BY5" s="51"/>
      <c r="BZ5" s="51"/>
      <c r="CA5" s="51"/>
      <c r="CB5" s="51"/>
      <c r="CC5" s="51"/>
      <c r="CD5" s="51"/>
      <c r="CE5" s="51"/>
      <c r="CF5" s="51"/>
      <c r="CG5" s="51"/>
      <c r="CH5" s="51"/>
      <c r="CI5" s="51"/>
      <c r="CJ5" s="51"/>
      <c r="CK5" s="51"/>
      <c r="CL5" s="51"/>
      <c r="CM5" s="51"/>
      <c r="CN5" s="51"/>
      <c r="CO5" s="51"/>
      <c r="CP5" s="51"/>
      <c r="CQ5" s="51"/>
      <c r="CR5" s="51"/>
      <c r="CS5" s="51"/>
      <c r="CT5" s="51"/>
      <c r="CU5" s="51"/>
      <c r="CV5" s="51"/>
      <c r="CW5" s="51"/>
      <c r="CX5" s="51"/>
      <c r="CY5" s="51"/>
      <c r="CZ5" s="51"/>
      <c r="DA5" s="51"/>
      <c r="DB5" s="51"/>
      <c r="DC5" s="51"/>
      <c r="DD5" s="51"/>
      <c r="DE5" s="51"/>
      <c r="DF5" s="51"/>
      <c r="DG5" s="51"/>
      <c r="DH5" s="51"/>
      <c r="DI5" s="51"/>
      <c r="DJ5" s="51"/>
      <c r="DK5" s="51"/>
      <c r="DL5" s="51"/>
      <c r="DM5" s="51"/>
      <c r="DN5" s="51"/>
      <c r="DO5" s="51"/>
      <c r="DP5" s="51"/>
      <c r="DQ5" s="51"/>
      <c r="DR5" s="51"/>
      <c r="DS5" s="51"/>
      <c r="DT5" s="51"/>
      <c r="DU5" s="51"/>
      <c r="DV5" s="51"/>
      <c r="DW5" s="51"/>
      <c r="DX5" s="51"/>
      <c r="DY5" s="51"/>
      <c r="DZ5" s="51"/>
      <c r="EA5" s="51"/>
      <c r="EB5" s="51"/>
      <c r="EC5" s="51"/>
      <c r="ED5" s="51"/>
      <c r="EE5" s="51"/>
      <c r="EF5" s="51"/>
      <c r="EG5" s="51"/>
      <c r="EH5" s="51"/>
      <c r="EI5" s="51"/>
      <c r="EJ5" s="51"/>
      <c r="EK5" s="51"/>
      <c r="EL5" s="51"/>
      <c r="EM5" s="51"/>
      <c r="EN5" s="51"/>
      <c r="EO5" s="51"/>
      <c r="EP5" s="51"/>
      <c r="EQ5" s="51"/>
      <c r="ER5" s="51"/>
      <c r="ES5" s="51"/>
      <c r="ET5" s="51"/>
      <c r="EU5" s="51"/>
      <c r="EV5" s="51"/>
      <c r="EW5" s="51"/>
      <c r="EX5" s="51"/>
      <c r="EY5" s="51"/>
      <c r="EZ5" s="51"/>
      <c r="FA5" s="51"/>
      <c r="FB5" s="51"/>
      <c r="FC5" s="51"/>
      <c r="FD5" s="51"/>
      <c r="FE5" s="51"/>
      <c r="FF5" s="51"/>
      <c r="FG5" s="51"/>
      <c r="FH5" s="51"/>
      <c r="FI5" s="51"/>
      <c r="FJ5" s="51"/>
      <c r="FK5" s="51"/>
      <c r="FL5" s="51"/>
      <c r="FM5" s="51"/>
      <c r="FN5" s="51"/>
      <c r="FO5" s="51"/>
      <c r="FP5" s="51"/>
      <c r="FQ5" s="51"/>
      <c r="FR5" s="51"/>
      <c r="FS5" s="51"/>
      <c r="FT5" s="51"/>
      <c r="FU5" s="51"/>
      <c r="FV5" s="51"/>
      <c r="FW5" s="51"/>
      <c r="FX5" s="51"/>
      <c r="FY5" s="51"/>
      <c r="FZ5" s="51"/>
      <c r="GA5" s="51"/>
      <c r="GB5" s="51"/>
      <c r="GC5" s="51"/>
      <c r="GD5" s="51"/>
      <c r="GE5" s="51"/>
      <c r="GF5" s="51"/>
      <c r="GG5" s="51"/>
      <c r="GH5" s="51"/>
      <c r="GI5" s="51"/>
      <c r="GJ5" s="51"/>
      <c r="GK5" s="51"/>
      <c r="GL5" s="51"/>
      <c r="GM5" s="51"/>
      <c r="GN5" s="51"/>
      <c r="GO5" s="51"/>
      <c r="GP5" s="51"/>
      <c r="GQ5" s="51"/>
      <c r="GR5" s="51"/>
      <c r="GS5" s="51"/>
      <c r="GT5" s="51"/>
      <c r="GU5" s="51"/>
      <c r="GV5" s="51"/>
      <c r="GW5" s="51"/>
      <c r="GX5" s="51"/>
      <c r="GY5" s="51"/>
      <c r="GZ5" s="51"/>
      <c r="HA5" s="51"/>
      <c r="HB5" s="51"/>
      <c r="HC5" s="51"/>
      <c r="HD5" s="51"/>
      <c r="HE5" s="51"/>
      <c r="HF5" s="51"/>
      <c r="HG5" s="51"/>
      <c r="HH5" s="51"/>
      <c r="HI5" s="51"/>
      <c r="HJ5" s="51"/>
      <c r="HK5" s="51"/>
      <c r="HL5" s="51"/>
      <c r="HM5" s="51"/>
      <c r="HN5" s="51"/>
      <c r="HO5" s="51"/>
      <c r="HP5" s="51"/>
      <c r="HQ5" s="51"/>
      <c r="HR5" s="51"/>
      <c r="HS5" s="51"/>
      <c r="HT5" s="51"/>
      <c r="HU5" s="51"/>
      <c r="HV5" s="51"/>
      <c r="HW5" s="51"/>
      <c r="HX5" s="51"/>
      <c r="HY5" s="51"/>
      <c r="HZ5" s="51"/>
      <c r="IA5" s="51"/>
      <c r="IB5" s="51"/>
      <c r="IC5" s="51"/>
      <c r="ID5" s="51"/>
      <c r="IE5" s="51"/>
      <c r="IF5" s="51"/>
      <c r="IG5" s="51"/>
      <c r="IH5" s="51"/>
      <c r="II5" s="51"/>
      <c r="IJ5" s="51"/>
      <c r="IK5" s="51"/>
      <c r="IL5" s="51"/>
      <c r="IM5" s="51"/>
      <c r="IN5" s="51"/>
      <c r="IO5" s="51"/>
      <c r="IP5" s="51"/>
      <c r="IQ5" s="51"/>
      <c r="IR5" s="51"/>
      <c r="IS5" s="51"/>
      <c r="IT5" s="51"/>
      <c r="IU5" s="51"/>
      <c r="IV5" s="51"/>
    </row>
    <row r="6" spans="1:256" s="58" customFormat="1" ht="13.5" customHeight="1" x14ac:dyDescent="0.2">
      <c r="A6" s="66"/>
      <c r="B6" s="281" t="s">
        <v>201</v>
      </c>
      <c r="C6" s="57"/>
    </row>
    <row r="7" spans="1:256" s="54" customFormat="1" ht="13.5" customHeight="1" x14ac:dyDescent="0.2">
      <c r="A7" s="66"/>
      <c r="B7" s="83" t="s">
        <v>9</v>
      </c>
      <c r="C7" s="53"/>
    </row>
    <row r="8" spans="1:256" s="71" customFormat="1" ht="13.5" customHeight="1" x14ac:dyDescent="0.2">
      <c r="A8" s="66"/>
      <c r="B8" s="83" t="s">
        <v>81</v>
      </c>
      <c r="C8" s="70"/>
    </row>
    <row r="9" spans="1:256" s="71" customFormat="1" ht="13.5" customHeight="1" thickBot="1" x14ac:dyDescent="0.25">
      <c r="A9" s="66"/>
      <c r="B9" s="84" t="s">
        <v>82</v>
      </c>
      <c r="C9" s="70"/>
    </row>
    <row r="10" spans="1:256" s="73" customFormat="1" ht="13.5" customHeight="1" x14ac:dyDescent="0.2">
      <c r="A10" s="67" t="s">
        <v>17</v>
      </c>
      <c r="B10" s="72" t="s">
        <v>164</v>
      </c>
      <c r="C10" s="99"/>
      <c r="D10" s="100"/>
      <c r="E10" s="100"/>
      <c r="G10" s="100"/>
      <c r="H10" s="100"/>
      <c r="J10" s="100"/>
      <c r="K10" s="100"/>
      <c r="L10" s="100"/>
      <c r="M10" s="100"/>
      <c r="N10" s="100"/>
      <c r="O10" s="100"/>
      <c r="P10" s="100"/>
      <c r="Q10" s="100"/>
      <c r="R10" s="100"/>
      <c r="S10" s="100"/>
      <c r="T10" s="100"/>
      <c r="U10" s="100"/>
      <c r="V10" s="100"/>
      <c r="W10" s="100"/>
      <c r="X10" s="100"/>
      <c r="Y10" s="100"/>
      <c r="Z10" s="100"/>
      <c r="AA10" s="100"/>
      <c r="AB10" s="100"/>
      <c r="AC10" s="100"/>
      <c r="AD10" s="100"/>
      <c r="AE10" s="100"/>
      <c r="AF10" s="100"/>
      <c r="AG10" s="100"/>
      <c r="AH10" s="100"/>
      <c r="AI10" s="100"/>
      <c r="AJ10" s="100"/>
      <c r="AK10" s="100"/>
      <c r="AL10" s="100"/>
      <c r="AM10" s="100"/>
      <c r="AN10" s="100"/>
      <c r="AO10" s="100"/>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00"/>
      <c r="BM10" s="100"/>
      <c r="BN10" s="100"/>
      <c r="BO10" s="209"/>
      <c r="BP10" s="209"/>
      <c r="BQ10" s="209"/>
      <c r="BR10" s="209"/>
      <c r="BS10" s="100"/>
      <c r="BT10" s="100"/>
      <c r="BU10" s="100"/>
      <c r="BV10" s="100"/>
      <c r="BW10" s="209"/>
      <c r="BX10" s="209"/>
      <c r="BY10" s="209"/>
      <c r="BZ10" s="209"/>
      <c r="CA10" s="100"/>
      <c r="CB10" s="100"/>
      <c r="CC10" s="209"/>
      <c r="CD10" s="209"/>
      <c r="CE10" s="209"/>
      <c r="CF10" s="209"/>
      <c r="CG10" s="209"/>
      <c r="CH10" s="209"/>
      <c r="CI10" s="209"/>
      <c r="CJ10" s="209"/>
      <c r="CK10" s="100"/>
      <c r="CL10" s="100"/>
      <c r="CM10" s="100"/>
      <c r="CN10" s="100"/>
      <c r="CP10" s="100"/>
      <c r="CQ10" s="100"/>
      <c r="CR10" s="100"/>
      <c r="CS10" s="100"/>
      <c r="CT10" s="100"/>
      <c r="CU10" s="100"/>
      <c r="CV10" s="100"/>
      <c r="CW10" s="100"/>
      <c r="CX10" s="100"/>
      <c r="CY10" s="100"/>
      <c r="CZ10" s="100"/>
      <c r="DB10" s="100"/>
      <c r="DC10" s="100"/>
      <c r="DD10" s="100"/>
      <c r="DE10" s="100"/>
      <c r="DF10" s="100"/>
      <c r="DG10" s="100"/>
      <c r="DH10" s="100"/>
      <c r="DI10" s="100"/>
      <c r="DJ10" s="100"/>
      <c r="DK10" s="100"/>
      <c r="DL10" s="100"/>
      <c r="DM10" s="100"/>
      <c r="DN10" s="100"/>
      <c r="DO10" s="100"/>
      <c r="DP10" s="100"/>
      <c r="DQ10" s="100"/>
      <c r="DR10" s="100"/>
      <c r="DS10" s="100"/>
      <c r="DT10" s="100"/>
      <c r="DU10" s="100"/>
      <c r="DV10" s="100"/>
      <c r="DX10" s="100"/>
      <c r="DY10" s="100"/>
      <c r="DZ10" s="100"/>
      <c r="EA10" s="100"/>
      <c r="EB10" s="100"/>
      <c r="EC10" s="100"/>
      <c r="ED10" s="100"/>
      <c r="EE10" s="100"/>
      <c r="EF10" s="100"/>
      <c r="EG10" s="100"/>
      <c r="EH10" s="100"/>
      <c r="EI10" s="100"/>
      <c r="EJ10" s="100"/>
      <c r="EK10" s="100"/>
      <c r="EL10" s="100"/>
      <c r="EM10" s="100"/>
      <c r="EN10" s="100"/>
      <c r="EO10" s="100"/>
      <c r="EP10" s="100"/>
      <c r="EQ10" s="100"/>
      <c r="ER10" s="100"/>
      <c r="ES10" s="100"/>
      <c r="ET10" s="100"/>
      <c r="EU10" s="100"/>
      <c r="EV10" s="100"/>
      <c r="EW10" s="100"/>
      <c r="EX10" s="100"/>
      <c r="EY10" s="100"/>
      <c r="EZ10" s="100"/>
      <c r="FA10" s="100"/>
      <c r="FB10" s="100"/>
      <c r="FC10" s="100"/>
      <c r="FD10" s="100"/>
      <c r="FE10" s="100"/>
      <c r="FF10" s="100"/>
      <c r="FG10" s="100"/>
      <c r="FH10" s="100"/>
      <c r="FI10" s="100"/>
      <c r="FJ10" s="100"/>
      <c r="FK10" s="100"/>
      <c r="FL10" s="100"/>
      <c r="FM10" s="100"/>
      <c r="FN10" s="100"/>
      <c r="FO10" s="100"/>
    </row>
    <row r="11" spans="1:256" s="56" customFormat="1" ht="13.5" customHeight="1" x14ac:dyDescent="0.2">
      <c r="A11" s="68" t="s">
        <v>140</v>
      </c>
      <c r="B11" s="65" t="s">
        <v>163</v>
      </c>
      <c r="C11" s="214"/>
      <c r="D11" s="101"/>
      <c r="E11" s="101"/>
      <c r="G11" s="101"/>
      <c r="H11" s="101"/>
      <c r="J11" s="101"/>
      <c r="K11" s="101"/>
      <c r="L11" s="101"/>
      <c r="M11" s="101"/>
      <c r="N11" s="101"/>
      <c r="O11" s="101"/>
      <c r="P11" s="91"/>
      <c r="Q11" s="101"/>
      <c r="R11" s="101"/>
      <c r="S11" s="101"/>
      <c r="T11" s="101"/>
      <c r="U11" s="101"/>
      <c r="V11" s="101"/>
      <c r="W11" s="101"/>
      <c r="X11" s="101"/>
      <c r="Y11" s="101"/>
      <c r="Z11" s="101"/>
      <c r="AA11" s="101"/>
      <c r="AB11" s="101"/>
      <c r="AC11" s="91"/>
      <c r="AD11" s="101"/>
      <c r="AE11" s="101"/>
      <c r="AF11" s="101"/>
      <c r="AG11" s="101"/>
      <c r="AH11" s="101"/>
      <c r="AI11" s="101"/>
      <c r="AJ11" s="101"/>
      <c r="AK11" s="91"/>
      <c r="AL11" s="101"/>
      <c r="AM11" s="101"/>
      <c r="AN11" s="101"/>
      <c r="AO11" s="101"/>
      <c r="AP11" s="101"/>
      <c r="AQ11" s="101"/>
      <c r="AR11" s="101"/>
      <c r="AS11" s="101"/>
      <c r="AT11" s="101"/>
      <c r="AU11" s="101"/>
      <c r="AV11" s="101"/>
      <c r="AW11" s="101"/>
      <c r="AX11" s="101"/>
      <c r="AY11" s="101"/>
      <c r="AZ11" s="101"/>
      <c r="BA11" s="101"/>
      <c r="BB11" s="101"/>
      <c r="BC11" s="101"/>
      <c r="BD11" s="101"/>
      <c r="BE11" s="101"/>
      <c r="BF11" s="101"/>
      <c r="BG11" s="101"/>
      <c r="BH11" s="101"/>
      <c r="BI11" s="101"/>
      <c r="BJ11" s="101"/>
      <c r="BK11" s="101"/>
      <c r="BL11" s="101"/>
      <c r="BM11" s="101"/>
      <c r="BN11" s="91"/>
      <c r="BO11" s="101"/>
      <c r="BP11" s="101"/>
      <c r="BQ11" s="101"/>
      <c r="BR11" s="101"/>
      <c r="BS11" s="101"/>
      <c r="BT11" s="101"/>
      <c r="BU11" s="101"/>
      <c r="BV11" s="101"/>
      <c r="BW11" s="101"/>
      <c r="BX11" s="101"/>
      <c r="BY11" s="101"/>
      <c r="BZ11" s="101"/>
      <c r="CA11" s="101"/>
      <c r="CB11" s="101"/>
      <c r="CC11" s="101"/>
      <c r="CD11" s="101"/>
      <c r="CE11" s="101"/>
      <c r="CF11" s="101"/>
      <c r="CG11" s="101"/>
      <c r="CH11" s="101"/>
      <c r="CI11" s="101"/>
      <c r="CJ11" s="101"/>
      <c r="CK11" s="101"/>
      <c r="CL11" s="101"/>
      <c r="CM11" s="101"/>
      <c r="CN11" s="101"/>
      <c r="CP11" s="91"/>
      <c r="CQ11" s="91"/>
      <c r="CR11" s="91"/>
      <c r="CS11" s="91"/>
      <c r="CT11" s="91"/>
      <c r="CU11" s="91"/>
      <c r="CV11" s="91"/>
      <c r="CW11" s="91"/>
      <c r="CX11" s="91"/>
      <c r="CY11" s="91"/>
      <c r="CZ11" s="91"/>
      <c r="DB11" s="101"/>
      <c r="DC11" s="101"/>
      <c r="DD11" s="101"/>
      <c r="DE11" s="101"/>
      <c r="DF11" s="101"/>
      <c r="DG11" s="101"/>
      <c r="DH11" s="101"/>
      <c r="DI11" s="101"/>
      <c r="DJ11" s="101"/>
      <c r="DK11" s="101"/>
      <c r="DL11" s="101"/>
      <c r="DM11" s="101"/>
      <c r="DN11" s="101"/>
      <c r="DO11" s="91"/>
      <c r="DP11" s="91"/>
      <c r="DQ11" s="91"/>
      <c r="DR11" s="101"/>
      <c r="DS11" s="91"/>
      <c r="DT11" s="91"/>
      <c r="DU11" s="91"/>
      <c r="DV11" s="101"/>
      <c r="DX11" s="91"/>
      <c r="DY11" s="91"/>
      <c r="DZ11" s="91"/>
      <c r="EA11" s="91"/>
      <c r="EB11" s="91"/>
      <c r="EC11" s="91"/>
      <c r="ED11" s="91"/>
      <c r="EE11" s="91"/>
      <c r="EF11" s="91"/>
      <c r="EG11" s="91"/>
      <c r="EH11" s="91"/>
      <c r="EI11" s="91"/>
      <c r="EJ11" s="91"/>
      <c r="EK11" s="91"/>
      <c r="EL11" s="91"/>
      <c r="EM11" s="91"/>
      <c r="EN11" s="91"/>
      <c r="EO11" s="91"/>
      <c r="EP11" s="91"/>
      <c r="EQ11" s="91"/>
      <c r="ER11" s="91"/>
      <c r="ES11" s="91"/>
      <c r="ET11" s="91"/>
      <c r="EU11" s="91"/>
      <c r="EV11" s="91"/>
      <c r="EW11" s="91"/>
      <c r="EX11" s="91"/>
      <c r="EY11" s="91"/>
      <c r="EZ11" s="91"/>
      <c r="FA11" s="91"/>
      <c r="FB11" s="91"/>
      <c r="FC11" s="91"/>
      <c r="FD11" s="91"/>
      <c r="FE11" s="91"/>
      <c r="FF11" s="91"/>
      <c r="FG11" s="91"/>
      <c r="FH11" s="91"/>
      <c r="FI11" s="91"/>
      <c r="FJ11" s="91"/>
      <c r="FK11" s="91"/>
      <c r="FL11" s="91"/>
      <c r="FM11" s="91"/>
      <c r="FN11" s="91"/>
      <c r="FO11" s="91"/>
    </row>
    <row r="12" spans="1:256" s="56" customFormat="1" ht="13.5" customHeight="1" x14ac:dyDescent="0.2">
      <c r="A12" s="68" t="s">
        <v>150</v>
      </c>
      <c r="B12" s="65" t="s">
        <v>165</v>
      </c>
      <c r="C12" s="55"/>
      <c r="CX12" s="101"/>
      <c r="CY12" s="101"/>
      <c r="DO12" s="101"/>
      <c r="DQ12" s="101"/>
      <c r="DS12" s="101"/>
      <c r="DY12" s="101"/>
    </row>
    <row r="13" spans="1:256" s="75" customFormat="1" ht="13.5" customHeight="1" thickBot="1" x14ac:dyDescent="0.25">
      <c r="A13" s="69"/>
      <c r="B13" s="74" t="s">
        <v>166</v>
      </c>
      <c r="C13" s="215"/>
      <c r="P13" s="103"/>
      <c r="AC13" s="103"/>
      <c r="AK13" s="103"/>
      <c r="BN13" s="103"/>
      <c r="BW13" s="92"/>
      <c r="BX13" s="103"/>
      <c r="BY13" s="103"/>
      <c r="BZ13" s="103"/>
      <c r="CC13" s="103"/>
      <c r="CD13" s="103"/>
      <c r="CE13" s="103"/>
      <c r="CF13" s="103"/>
      <c r="CP13" s="103"/>
      <c r="CQ13" s="103"/>
      <c r="CR13" s="103"/>
      <c r="CU13" s="103"/>
      <c r="CV13" s="103"/>
      <c r="CW13" s="103"/>
      <c r="CX13" s="92"/>
      <c r="CY13" s="92"/>
      <c r="CZ13" s="103"/>
      <c r="DB13" s="103"/>
      <c r="DC13" s="103"/>
      <c r="DD13" s="103"/>
      <c r="DE13" s="103"/>
      <c r="DF13" s="103"/>
      <c r="DG13" s="103"/>
      <c r="DH13" s="103"/>
      <c r="DI13" s="103"/>
      <c r="DJ13" s="103"/>
      <c r="DK13" s="103"/>
      <c r="DL13" s="103"/>
      <c r="DM13" s="103"/>
      <c r="DN13" s="103"/>
      <c r="DO13" s="92"/>
      <c r="DP13" s="103"/>
      <c r="DQ13" s="92"/>
      <c r="DR13" s="103"/>
      <c r="DS13" s="92"/>
      <c r="DT13" s="92"/>
      <c r="DU13" s="103"/>
      <c r="DV13" s="103"/>
      <c r="DX13" s="103"/>
      <c r="DY13" s="92"/>
      <c r="DZ13" s="103"/>
      <c r="EB13" s="103"/>
      <c r="EC13" s="103"/>
      <c r="ED13" s="103"/>
      <c r="EE13" s="103"/>
      <c r="EF13" s="92"/>
      <c r="EI13" s="103"/>
      <c r="EJ13" s="103"/>
      <c r="EK13" s="103"/>
      <c r="EL13" s="103"/>
      <c r="EM13" s="103"/>
      <c r="EO13" s="103"/>
      <c r="EP13" s="103"/>
      <c r="EQ13" s="103"/>
      <c r="ER13" s="103"/>
      <c r="ET13" s="103"/>
      <c r="EV13" s="103"/>
      <c r="EW13" s="103"/>
      <c r="EX13" s="103"/>
      <c r="EY13" s="103"/>
      <c r="FA13" s="103"/>
      <c r="FB13" s="103"/>
      <c r="FC13" s="103"/>
      <c r="FD13" s="103"/>
      <c r="FE13" s="103"/>
      <c r="FF13" s="103"/>
      <c r="FG13" s="103"/>
      <c r="FH13" s="103"/>
      <c r="FJ13" s="103"/>
      <c r="FK13" s="103"/>
      <c r="FL13" s="103"/>
      <c r="FM13" s="103"/>
      <c r="FN13" s="103"/>
      <c r="FO13" s="103"/>
    </row>
    <row r="14" spans="1:256" s="90" customFormat="1" ht="13.5" customHeight="1" x14ac:dyDescent="0.2">
      <c r="A14" s="67" t="s">
        <v>17</v>
      </c>
      <c r="B14" s="64" t="s">
        <v>164</v>
      </c>
      <c r="C14" s="109"/>
      <c r="F14" s="104"/>
      <c r="I14" s="104"/>
      <c r="BO14" s="213"/>
      <c r="BP14" s="213"/>
      <c r="BQ14" s="213"/>
      <c r="BR14" s="213"/>
      <c r="BW14" s="213"/>
      <c r="BX14" s="213"/>
      <c r="BY14" s="104"/>
      <c r="BZ14" s="104"/>
      <c r="CC14" s="213"/>
      <c r="CD14" s="104"/>
      <c r="CE14" s="104"/>
      <c r="CF14" s="104"/>
      <c r="CG14" s="213"/>
      <c r="CH14" s="213"/>
      <c r="CI14" s="213"/>
      <c r="CJ14" s="213"/>
      <c r="CO14" s="104"/>
      <c r="DA14" s="104"/>
      <c r="DW14" s="104"/>
      <c r="FP14" s="104"/>
    </row>
    <row r="15" spans="1:256" s="91" customFormat="1" ht="13.5" customHeight="1" x14ac:dyDescent="0.2">
      <c r="A15" s="68" t="s">
        <v>140</v>
      </c>
      <c r="B15" s="65" t="s">
        <v>163</v>
      </c>
      <c r="C15" s="55"/>
      <c r="D15" s="56"/>
      <c r="E15" s="56"/>
      <c r="F15" s="56"/>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56"/>
      <c r="AG15" s="56"/>
      <c r="AH15" s="56"/>
      <c r="AI15" s="56"/>
      <c r="AJ15" s="56"/>
      <c r="AK15" s="56"/>
      <c r="AL15" s="56"/>
      <c r="AM15" s="56"/>
      <c r="AN15" s="56"/>
      <c r="AO15" s="56"/>
      <c r="AP15" s="56"/>
      <c r="AQ15" s="56"/>
      <c r="AR15" s="56"/>
      <c r="AS15" s="56"/>
      <c r="AT15" s="56"/>
      <c r="AU15" s="56"/>
      <c r="AV15" s="56"/>
      <c r="AW15" s="56"/>
      <c r="AX15" s="56"/>
      <c r="AY15" s="56"/>
      <c r="AZ15" s="56"/>
      <c r="BA15" s="56"/>
      <c r="BB15" s="56"/>
      <c r="BC15" s="56"/>
      <c r="BD15" s="56"/>
      <c r="BE15" s="56"/>
      <c r="BF15" s="56"/>
      <c r="BG15" s="56"/>
      <c r="BH15" s="56"/>
      <c r="BI15" s="56"/>
      <c r="BJ15" s="56"/>
      <c r="BK15" s="56"/>
      <c r="BL15" s="56"/>
      <c r="BM15" s="56"/>
      <c r="BN15" s="56"/>
      <c r="BO15" s="56"/>
      <c r="BP15" s="56"/>
      <c r="BQ15" s="56"/>
      <c r="BR15" s="56"/>
      <c r="BS15" s="56"/>
      <c r="BT15" s="56"/>
      <c r="BU15" s="56"/>
      <c r="BV15" s="56"/>
      <c r="BW15" s="56"/>
      <c r="BX15" s="56"/>
      <c r="BY15" s="56"/>
      <c r="BZ15" s="56"/>
      <c r="CA15" s="56"/>
      <c r="CB15" s="56"/>
      <c r="CC15" s="56"/>
      <c r="CD15" s="56"/>
      <c r="CE15" s="56"/>
      <c r="CF15" s="56"/>
      <c r="CG15" s="56"/>
      <c r="CH15" s="56"/>
      <c r="CI15" s="56"/>
      <c r="CJ15" s="56"/>
      <c r="CK15" s="56"/>
      <c r="CL15" s="56"/>
      <c r="CM15" s="56"/>
      <c r="CN15" s="56"/>
      <c r="CO15" s="56"/>
      <c r="CP15" s="56"/>
      <c r="CQ15" s="56"/>
      <c r="CR15" s="56"/>
      <c r="CS15" s="56"/>
      <c r="CT15" s="56"/>
      <c r="CU15" s="56"/>
      <c r="CV15" s="56"/>
      <c r="CW15" s="56"/>
      <c r="CX15" s="56"/>
      <c r="CY15" s="56"/>
      <c r="CZ15" s="56"/>
      <c r="DA15" s="56"/>
      <c r="DB15" s="56"/>
      <c r="DC15" s="56"/>
      <c r="DD15" s="56"/>
      <c r="DE15" s="56"/>
      <c r="DF15" s="56"/>
      <c r="DG15" s="56"/>
      <c r="DH15" s="56"/>
      <c r="DI15" s="56"/>
      <c r="DJ15" s="56"/>
      <c r="DK15" s="56"/>
      <c r="DL15" s="56"/>
      <c r="DM15" s="56"/>
      <c r="DN15" s="56"/>
      <c r="DO15" s="56"/>
      <c r="DP15" s="56"/>
      <c r="DQ15" s="56"/>
      <c r="DR15" s="56"/>
      <c r="DS15" s="56"/>
      <c r="DT15" s="56"/>
      <c r="DU15" s="56"/>
      <c r="DV15" s="56"/>
      <c r="DW15" s="56"/>
      <c r="DX15" s="56"/>
      <c r="DY15" s="56"/>
      <c r="DZ15" s="56"/>
      <c r="EA15" s="56"/>
      <c r="EB15" s="56"/>
      <c r="EC15" s="56"/>
      <c r="ED15" s="56"/>
      <c r="EE15" s="56"/>
      <c r="EF15" s="56"/>
      <c r="EG15" s="56"/>
      <c r="EH15" s="56"/>
      <c r="EI15" s="56"/>
      <c r="EJ15" s="56"/>
      <c r="EK15" s="56"/>
      <c r="EL15" s="56"/>
      <c r="EM15" s="56"/>
      <c r="EN15" s="56"/>
      <c r="EO15" s="56"/>
      <c r="EP15" s="56"/>
      <c r="EQ15" s="56"/>
      <c r="ER15" s="56"/>
      <c r="ES15" s="56"/>
      <c r="ET15" s="56"/>
      <c r="EU15" s="56"/>
      <c r="EV15" s="56"/>
      <c r="EW15" s="56"/>
      <c r="EX15" s="56"/>
      <c r="EY15" s="56"/>
      <c r="EZ15" s="56"/>
      <c r="FA15" s="56"/>
      <c r="FB15" s="56"/>
      <c r="FC15" s="56"/>
      <c r="FD15" s="56"/>
      <c r="FE15" s="56"/>
      <c r="FF15" s="56"/>
      <c r="FG15" s="56"/>
      <c r="FH15" s="56"/>
      <c r="FI15" s="56"/>
      <c r="FJ15" s="56"/>
      <c r="FK15" s="56"/>
      <c r="FL15" s="56"/>
      <c r="FM15" s="56"/>
      <c r="FN15" s="56"/>
      <c r="FO15" s="56"/>
      <c r="FP15" s="56"/>
    </row>
    <row r="16" spans="1:256" s="56" customFormat="1" ht="13.5" customHeight="1" x14ac:dyDescent="0.2">
      <c r="A16" s="68" t="s">
        <v>151</v>
      </c>
      <c r="B16" s="65" t="s">
        <v>165</v>
      </c>
      <c r="C16" s="55"/>
    </row>
    <row r="17" spans="1:172" s="78" customFormat="1" ht="13.5" customHeight="1" thickBot="1" x14ac:dyDescent="0.25">
      <c r="A17" s="69"/>
      <c r="B17" s="76" t="s">
        <v>166</v>
      </c>
      <c r="C17" s="216"/>
      <c r="D17" s="102"/>
      <c r="E17" s="102"/>
      <c r="G17" s="102"/>
      <c r="H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S17" s="102"/>
      <c r="BT17" s="102"/>
      <c r="BU17" s="102"/>
      <c r="BV17" s="102"/>
      <c r="CA17" s="102"/>
      <c r="CB17" s="102"/>
      <c r="CG17" s="102"/>
      <c r="CH17" s="102"/>
      <c r="CI17" s="102"/>
      <c r="CJ17" s="102"/>
      <c r="CK17" s="102"/>
      <c r="CL17" s="102"/>
      <c r="CM17" s="102"/>
      <c r="CN17" s="102"/>
      <c r="CX17" s="102"/>
      <c r="CY17" s="102"/>
      <c r="DD17" s="102"/>
      <c r="DF17" s="102"/>
      <c r="DG17" s="102"/>
      <c r="DH17" s="102"/>
      <c r="DI17" s="102"/>
      <c r="DL17" s="102"/>
      <c r="DO17" s="102"/>
      <c r="DP17" s="102"/>
      <c r="DQ17" s="102"/>
      <c r="DS17" s="102"/>
      <c r="DT17" s="102"/>
      <c r="DU17" s="102"/>
      <c r="DY17" s="102"/>
      <c r="DZ17" s="102"/>
      <c r="EC17" s="102"/>
      <c r="EE17" s="102"/>
      <c r="EF17" s="102"/>
    </row>
    <row r="18" spans="1:172" s="73" customFormat="1" ht="13.5" customHeight="1" x14ac:dyDescent="0.2">
      <c r="A18" s="68" t="s">
        <v>17</v>
      </c>
      <c r="B18" s="82" t="s">
        <v>164</v>
      </c>
      <c r="C18" s="79"/>
    </row>
    <row r="19" spans="1:172" s="56" customFormat="1" ht="13.5" customHeight="1" x14ac:dyDescent="0.2">
      <c r="A19" s="68" t="s">
        <v>140</v>
      </c>
      <c r="B19" s="83" t="s">
        <v>163</v>
      </c>
      <c r="C19" s="80"/>
    </row>
    <row r="20" spans="1:172" s="56" customFormat="1" ht="13.5" customHeight="1" x14ac:dyDescent="0.2">
      <c r="A20" s="68" t="s">
        <v>141</v>
      </c>
      <c r="B20" s="83" t="s">
        <v>165</v>
      </c>
      <c r="C20" s="80"/>
    </row>
    <row r="21" spans="1:172" s="75" customFormat="1" ht="13.5" customHeight="1" thickBot="1" x14ac:dyDescent="0.25">
      <c r="A21" s="69"/>
      <c r="B21" s="84" t="s">
        <v>166</v>
      </c>
      <c r="C21" s="217"/>
      <c r="D21" s="103"/>
      <c r="E21" s="103"/>
      <c r="G21" s="103"/>
      <c r="H21" s="103"/>
      <c r="J21" s="103"/>
      <c r="K21" s="103"/>
      <c r="L21" s="103"/>
      <c r="M21" s="103"/>
      <c r="N21" s="103"/>
      <c r="O21" s="103"/>
      <c r="P21" s="103"/>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c r="BG21" s="103"/>
      <c r="BH21" s="103"/>
      <c r="BI21" s="103"/>
      <c r="BJ21" s="103"/>
      <c r="BK21" s="103"/>
      <c r="BL21" s="103"/>
      <c r="BM21" s="103"/>
      <c r="BN21" s="103"/>
      <c r="BS21" s="103"/>
      <c r="BT21" s="103"/>
      <c r="BU21" s="103"/>
      <c r="BV21" s="103"/>
      <c r="CA21" s="103"/>
      <c r="CB21" s="103"/>
      <c r="CG21" s="103"/>
      <c r="CH21" s="103"/>
      <c r="CI21" s="103"/>
      <c r="CJ21" s="103"/>
      <c r="CK21" s="103"/>
      <c r="CL21" s="103"/>
      <c r="CM21" s="103"/>
      <c r="CN21" s="103"/>
      <c r="CX21" s="103"/>
      <c r="CY21" s="103"/>
      <c r="DO21" s="103"/>
      <c r="DP21" s="103"/>
      <c r="DQ21" s="103"/>
      <c r="DS21" s="103"/>
      <c r="DT21" s="103"/>
      <c r="DU21" s="103"/>
      <c r="DY21" s="103"/>
      <c r="DZ21" s="103"/>
      <c r="EC21" s="103"/>
      <c r="EE21" s="103"/>
      <c r="EF21" s="103"/>
    </row>
    <row r="22" spans="1:172" s="100" customFormat="1" ht="13.5" customHeight="1" x14ac:dyDescent="0.2">
      <c r="A22" s="67" t="s">
        <v>61</v>
      </c>
      <c r="B22" s="72" t="s">
        <v>164</v>
      </c>
      <c r="C22" s="99"/>
      <c r="F22" s="73"/>
      <c r="I22" s="73"/>
      <c r="J22" s="73"/>
      <c r="K22" s="73"/>
      <c r="L22" s="73"/>
      <c r="M22" s="73"/>
      <c r="N22" s="73"/>
      <c r="O22" s="73"/>
      <c r="P22" s="73"/>
      <c r="Q22" s="73"/>
      <c r="R22" s="73"/>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c r="BS22" s="73"/>
      <c r="BT22" s="73"/>
      <c r="BU22" s="73"/>
      <c r="BV22" s="73"/>
      <c r="BW22" s="73"/>
      <c r="BX22" s="73"/>
      <c r="BY22" s="73"/>
      <c r="BZ22" s="73"/>
      <c r="CA22" s="73"/>
      <c r="CB22" s="73"/>
      <c r="CC22" s="73"/>
      <c r="CD22" s="73"/>
      <c r="CE22" s="73"/>
      <c r="CF22" s="73"/>
      <c r="CG22" s="73"/>
      <c r="CH22" s="73"/>
      <c r="CI22" s="73"/>
      <c r="CJ22" s="73"/>
      <c r="CK22" s="73"/>
      <c r="CL22" s="73"/>
      <c r="CM22" s="73"/>
      <c r="CN22" s="73"/>
      <c r="CO22" s="73"/>
      <c r="CP22" s="73"/>
      <c r="CQ22" s="73"/>
      <c r="CR22" s="73"/>
      <c r="CS22" s="73"/>
      <c r="CT22" s="73"/>
      <c r="CU22" s="73"/>
      <c r="CV22" s="73"/>
      <c r="CW22" s="73"/>
      <c r="CX22" s="73"/>
      <c r="CY22" s="73"/>
      <c r="CZ22" s="73"/>
      <c r="DA22" s="73"/>
      <c r="DB22" s="73"/>
      <c r="DC22" s="73"/>
      <c r="DD22" s="73"/>
      <c r="DE22" s="73"/>
      <c r="DF22" s="73"/>
      <c r="DG22" s="73"/>
      <c r="DH22" s="73"/>
      <c r="DI22" s="73"/>
      <c r="DJ22" s="73"/>
      <c r="DK22" s="73"/>
      <c r="DL22" s="73"/>
      <c r="DM22" s="73"/>
      <c r="DN22" s="73"/>
      <c r="DO22" s="73"/>
      <c r="DP22" s="73"/>
      <c r="DQ22" s="73"/>
      <c r="DR22" s="73"/>
      <c r="DS22" s="73"/>
      <c r="DT22" s="73"/>
      <c r="DU22" s="73"/>
      <c r="DV22" s="73"/>
      <c r="DW22" s="73"/>
      <c r="DX22" s="73"/>
      <c r="DY22" s="73"/>
      <c r="DZ22" s="73"/>
      <c r="EA22" s="73"/>
      <c r="EB22" s="73"/>
      <c r="EC22" s="73"/>
      <c r="ED22" s="73"/>
      <c r="EE22" s="73"/>
      <c r="EF22" s="73"/>
      <c r="EG22" s="73"/>
      <c r="EH22" s="73"/>
      <c r="EI22" s="73"/>
      <c r="EJ22" s="73"/>
      <c r="EK22" s="73"/>
      <c r="EL22" s="73"/>
      <c r="EM22" s="73"/>
      <c r="EN22" s="73"/>
      <c r="EO22" s="73"/>
      <c r="EP22" s="73"/>
      <c r="EQ22" s="73"/>
      <c r="ER22" s="73"/>
      <c r="ES22" s="73"/>
      <c r="ET22" s="73"/>
      <c r="EU22" s="73"/>
      <c r="EV22" s="73"/>
      <c r="EW22" s="73"/>
      <c r="EX22" s="73"/>
      <c r="EY22" s="73"/>
      <c r="EZ22" s="73"/>
      <c r="FA22" s="73"/>
      <c r="FB22" s="73"/>
      <c r="FC22" s="73"/>
      <c r="FD22" s="73"/>
      <c r="FE22" s="73"/>
      <c r="FF22" s="73"/>
      <c r="FG22" s="73"/>
      <c r="FH22" s="73"/>
      <c r="FI22" s="73"/>
      <c r="FJ22" s="73"/>
      <c r="FK22" s="73"/>
      <c r="FL22" s="73"/>
      <c r="FM22" s="73"/>
      <c r="FN22" s="73"/>
      <c r="FO22" s="73"/>
      <c r="FP22" s="73"/>
    </row>
    <row r="23" spans="1:172" s="91" customFormat="1" ht="13.5" customHeight="1" x14ac:dyDescent="0.2">
      <c r="A23" s="68" t="s">
        <v>62</v>
      </c>
      <c r="B23" s="65" t="s">
        <v>163</v>
      </c>
      <c r="C23" s="55"/>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56"/>
      <c r="AG23" s="56"/>
      <c r="AH23" s="56"/>
      <c r="AI23" s="56"/>
      <c r="AJ23" s="56"/>
      <c r="AK23" s="56"/>
      <c r="AL23" s="56"/>
      <c r="AM23" s="56"/>
      <c r="AN23" s="56"/>
      <c r="AO23" s="56"/>
      <c r="AP23" s="56"/>
      <c r="AQ23" s="56"/>
      <c r="AR23" s="56"/>
      <c r="AS23" s="56"/>
      <c r="AT23" s="56"/>
      <c r="AU23" s="56"/>
      <c r="AV23" s="56"/>
      <c r="AW23" s="56"/>
      <c r="AX23" s="56"/>
      <c r="AY23" s="56"/>
      <c r="AZ23" s="56"/>
      <c r="BA23" s="56"/>
      <c r="BB23" s="56"/>
      <c r="BC23" s="56"/>
      <c r="BD23" s="56"/>
      <c r="BE23" s="56"/>
      <c r="BF23" s="56"/>
      <c r="BG23" s="56"/>
      <c r="BH23" s="56"/>
      <c r="BI23" s="56"/>
      <c r="BJ23" s="56"/>
      <c r="BK23" s="56"/>
      <c r="BL23" s="56"/>
      <c r="BM23" s="56"/>
      <c r="BN23" s="56"/>
      <c r="BO23" s="56"/>
      <c r="BP23" s="56"/>
      <c r="BQ23" s="56"/>
      <c r="BR23" s="56"/>
      <c r="BS23" s="56"/>
      <c r="BT23" s="56"/>
      <c r="BU23" s="56"/>
      <c r="BV23" s="56"/>
      <c r="BW23" s="56"/>
      <c r="BX23" s="56"/>
      <c r="BY23" s="56"/>
      <c r="BZ23" s="56"/>
      <c r="CA23" s="56"/>
      <c r="CB23" s="56"/>
      <c r="CC23" s="56"/>
      <c r="CD23" s="56"/>
      <c r="CE23" s="56"/>
      <c r="CF23" s="56"/>
      <c r="CG23" s="56"/>
      <c r="CH23" s="56"/>
      <c r="CI23" s="56"/>
      <c r="CJ23" s="56"/>
      <c r="CK23" s="56"/>
      <c r="CL23" s="56"/>
      <c r="CM23" s="56"/>
      <c r="CN23" s="56"/>
      <c r="CO23" s="56"/>
      <c r="CP23" s="56"/>
      <c r="CQ23" s="56"/>
      <c r="CR23" s="56"/>
      <c r="CS23" s="56"/>
      <c r="CT23" s="56"/>
      <c r="CU23" s="56"/>
      <c r="CV23" s="56"/>
      <c r="CW23" s="56"/>
      <c r="CX23" s="56"/>
      <c r="CY23" s="56"/>
      <c r="CZ23" s="56"/>
      <c r="DA23" s="56"/>
      <c r="DB23" s="56"/>
      <c r="DC23" s="56"/>
      <c r="DD23" s="56"/>
      <c r="DE23" s="56"/>
      <c r="DF23" s="56"/>
      <c r="DG23" s="56"/>
      <c r="DH23" s="56"/>
      <c r="DI23" s="56"/>
      <c r="DJ23" s="56"/>
      <c r="DK23" s="56"/>
      <c r="DL23" s="56"/>
      <c r="DM23" s="56"/>
      <c r="DN23" s="56"/>
      <c r="DO23" s="56"/>
      <c r="DP23" s="56"/>
      <c r="DQ23" s="56"/>
      <c r="DR23" s="56"/>
      <c r="DS23" s="56"/>
      <c r="DT23" s="56"/>
      <c r="DU23" s="56"/>
      <c r="DV23" s="56"/>
      <c r="DW23" s="56"/>
      <c r="DX23" s="56"/>
      <c r="DY23" s="56"/>
      <c r="DZ23" s="56"/>
      <c r="EA23" s="56"/>
      <c r="EB23" s="56"/>
      <c r="EC23" s="56"/>
      <c r="ED23" s="56"/>
      <c r="EE23" s="56"/>
      <c r="EF23" s="56"/>
      <c r="EG23" s="56"/>
      <c r="EH23" s="56"/>
      <c r="EI23" s="56"/>
      <c r="EJ23" s="56"/>
      <c r="EK23" s="56"/>
      <c r="EL23" s="56"/>
      <c r="EM23" s="56"/>
      <c r="EN23" s="56"/>
      <c r="EO23" s="56"/>
      <c r="EP23" s="56"/>
      <c r="EQ23" s="56"/>
      <c r="ER23" s="56"/>
      <c r="ES23" s="56"/>
      <c r="ET23" s="56"/>
      <c r="EU23" s="56"/>
      <c r="EV23" s="56"/>
      <c r="EW23" s="56"/>
      <c r="EX23" s="56"/>
      <c r="EY23" s="56"/>
      <c r="EZ23" s="56"/>
      <c r="FA23" s="56"/>
      <c r="FB23" s="56"/>
      <c r="FC23" s="56"/>
      <c r="FD23" s="56"/>
      <c r="FE23" s="56"/>
      <c r="FF23" s="56"/>
      <c r="FG23" s="56"/>
      <c r="FH23" s="56"/>
      <c r="FI23" s="56"/>
      <c r="FJ23" s="56"/>
      <c r="FK23" s="56"/>
      <c r="FL23" s="56"/>
      <c r="FM23" s="56"/>
      <c r="FN23" s="56"/>
      <c r="FO23" s="56"/>
      <c r="FP23" s="56"/>
    </row>
    <row r="24" spans="1:172" s="56" customFormat="1" ht="13.5" customHeight="1" x14ac:dyDescent="0.2">
      <c r="A24" s="68" t="s">
        <v>188</v>
      </c>
      <c r="B24" s="65" t="s">
        <v>165</v>
      </c>
      <c r="C24" s="55"/>
    </row>
    <row r="25" spans="1:172" s="75" customFormat="1" ht="13.5" customHeight="1" thickBot="1" x14ac:dyDescent="0.25">
      <c r="A25" s="69"/>
      <c r="B25" s="74" t="s">
        <v>166</v>
      </c>
      <c r="C25" s="215"/>
    </row>
    <row r="26" spans="1:172" s="90" customFormat="1" ht="13.5" customHeight="1" x14ac:dyDescent="0.2">
      <c r="A26" s="68" t="s">
        <v>61</v>
      </c>
      <c r="B26" s="64" t="s">
        <v>164</v>
      </c>
      <c r="C26" s="263"/>
      <c r="D26" s="104"/>
      <c r="E26" s="104"/>
      <c r="F26" s="104"/>
      <c r="G26" s="104"/>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4"/>
      <c r="AI26" s="104"/>
      <c r="AJ26" s="104"/>
      <c r="AK26" s="104"/>
      <c r="AL26" s="104"/>
      <c r="AM26" s="104"/>
      <c r="AN26" s="104"/>
      <c r="AO26" s="104"/>
      <c r="AP26" s="104"/>
      <c r="AQ26" s="104"/>
      <c r="AR26" s="104"/>
      <c r="AS26" s="104"/>
      <c r="AT26" s="104"/>
      <c r="AU26" s="104"/>
      <c r="AV26" s="104"/>
      <c r="AW26" s="104"/>
      <c r="AX26" s="104"/>
      <c r="AY26" s="104"/>
      <c r="AZ26" s="104"/>
      <c r="BA26" s="104"/>
      <c r="BB26" s="104"/>
      <c r="BC26" s="104"/>
      <c r="BD26" s="104"/>
      <c r="BE26" s="104"/>
      <c r="BF26" s="104"/>
      <c r="BG26" s="104"/>
      <c r="BH26" s="104"/>
      <c r="BI26" s="104"/>
      <c r="BJ26" s="104"/>
      <c r="BK26" s="104"/>
      <c r="BL26" s="104"/>
      <c r="BM26" s="104"/>
      <c r="BN26" s="104"/>
      <c r="BO26" s="104"/>
      <c r="BP26" s="104"/>
      <c r="BQ26" s="104"/>
      <c r="BR26" s="104"/>
      <c r="BS26" s="104"/>
      <c r="BT26" s="104"/>
      <c r="BU26" s="104"/>
      <c r="BV26" s="104"/>
      <c r="BW26" s="104"/>
      <c r="BX26" s="104"/>
      <c r="BY26" s="104"/>
      <c r="BZ26" s="104"/>
      <c r="CA26" s="104"/>
      <c r="CB26" s="104"/>
      <c r="CC26" s="104"/>
      <c r="CD26" s="104"/>
      <c r="CE26" s="104"/>
      <c r="CF26" s="104"/>
      <c r="CG26" s="104"/>
      <c r="CH26" s="104"/>
      <c r="CI26" s="104"/>
      <c r="CJ26" s="104"/>
      <c r="CK26" s="104"/>
      <c r="CL26" s="104"/>
      <c r="CM26" s="104"/>
      <c r="CN26" s="104"/>
      <c r="CO26" s="104"/>
      <c r="CP26" s="104"/>
      <c r="CQ26" s="104"/>
      <c r="CR26" s="104"/>
      <c r="CS26" s="104"/>
      <c r="CT26" s="104"/>
      <c r="CU26" s="104"/>
      <c r="CV26" s="104"/>
      <c r="CW26" s="104"/>
      <c r="CX26" s="104"/>
      <c r="CY26" s="104"/>
      <c r="CZ26" s="104"/>
      <c r="DA26" s="104"/>
      <c r="DB26" s="104"/>
      <c r="DC26" s="104"/>
      <c r="DD26" s="104"/>
      <c r="DE26" s="104"/>
      <c r="DF26" s="104"/>
      <c r="DG26" s="104"/>
      <c r="DH26" s="104"/>
      <c r="DI26" s="104"/>
      <c r="DJ26" s="104"/>
      <c r="DK26" s="104"/>
      <c r="DL26" s="104"/>
      <c r="DM26" s="104"/>
      <c r="DN26" s="104"/>
      <c r="DO26" s="104"/>
      <c r="DP26" s="104"/>
      <c r="DQ26" s="104"/>
      <c r="DR26" s="104"/>
      <c r="DS26" s="104"/>
      <c r="DT26" s="104"/>
      <c r="DU26" s="104"/>
      <c r="DV26" s="104"/>
      <c r="DW26" s="104"/>
      <c r="DX26" s="104"/>
      <c r="DY26" s="104"/>
      <c r="DZ26" s="104"/>
      <c r="EA26" s="104"/>
      <c r="EB26" s="104"/>
      <c r="EC26" s="104"/>
      <c r="ED26" s="104"/>
      <c r="EE26" s="104"/>
      <c r="EF26" s="104"/>
      <c r="EG26" s="104"/>
      <c r="EH26" s="104"/>
      <c r="EI26" s="104"/>
      <c r="EJ26" s="104"/>
      <c r="EK26" s="104"/>
      <c r="EL26" s="104"/>
      <c r="EM26" s="104"/>
      <c r="EN26" s="104"/>
      <c r="EO26" s="104"/>
      <c r="EP26" s="104"/>
      <c r="EQ26" s="104"/>
      <c r="ER26" s="104"/>
      <c r="ES26" s="104"/>
      <c r="ET26" s="104"/>
      <c r="EU26" s="104"/>
      <c r="EV26" s="104"/>
      <c r="EW26" s="104"/>
      <c r="EX26" s="104"/>
      <c r="EY26" s="104"/>
      <c r="EZ26" s="104"/>
      <c r="FA26" s="104"/>
      <c r="FB26" s="104"/>
      <c r="FC26" s="104"/>
      <c r="FD26" s="104"/>
      <c r="FE26" s="104"/>
      <c r="FF26" s="104"/>
      <c r="FG26" s="104"/>
      <c r="FH26" s="104"/>
      <c r="FI26" s="104"/>
      <c r="FJ26" s="104"/>
      <c r="FK26" s="104"/>
      <c r="FL26" s="104"/>
      <c r="FM26" s="104"/>
      <c r="FN26" s="104"/>
      <c r="FO26" s="104"/>
      <c r="FP26" s="104"/>
    </row>
    <row r="27" spans="1:172" s="91" customFormat="1" ht="13.5" customHeight="1" x14ac:dyDescent="0.2">
      <c r="A27" s="68" t="s">
        <v>62</v>
      </c>
      <c r="B27" s="65" t="s">
        <v>163</v>
      </c>
      <c r="C27" s="55"/>
      <c r="D27" s="56"/>
      <c r="E27" s="56"/>
      <c r="F27" s="56"/>
      <c r="G27" s="56"/>
      <c r="H27" s="56"/>
      <c r="I27" s="56"/>
      <c r="J27" s="56"/>
      <c r="K27" s="56"/>
      <c r="L27" s="56"/>
      <c r="M27" s="56"/>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56"/>
      <c r="AX27" s="56"/>
      <c r="AY27" s="56"/>
      <c r="AZ27" s="56"/>
      <c r="BA27" s="56"/>
      <c r="BB27" s="56"/>
      <c r="BC27" s="56"/>
      <c r="BD27" s="56"/>
      <c r="BE27" s="56"/>
      <c r="BF27" s="56"/>
      <c r="BG27" s="56"/>
      <c r="BH27" s="56"/>
      <c r="BI27" s="56"/>
      <c r="BJ27" s="56"/>
      <c r="BK27" s="56"/>
      <c r="BL27" s="56"/>
      <c r="BM27" s="56"/>
      <c r="BN27" s="56"/>
      <c r="BO27" s="56"/>
      <c r="BP27" s="56"/>
      <c r="BQ27" s="56"/>
      <c r="BR27" s="56"/>
      <c r="BS27" s="56"/>
      <c r="BT27" s="56"/>
      <c r="BU27" s="56"/>
      <c r="BV27" s="56"/>
      <c r="BW27" s="56"/>
      <c r="BX27" s="56"/>
      <c r="BY27" s="56"/>
      <c r="BZ27" s="56"/>
      <c r="CA27" s="56"/>
      <c r="CB27" s="56"/>
      <c r="CC27" s="56"/>
      <c r="CD27" s="56"/>
      <c r="CE27" s="56"/>
      <c r="CF27" s="56"/>
      <c r="CG27" s="56"/>
      <c r="CH27" s="56"/>
      <c r="CI27" s="56"/>
      <c r="CJ27" s="56"/>
      <c r="CK27" s="56"/>
      <c r="CL27" s="56"/>
      <c r="CM27" s="56"/>
      <c r="CN27" s="56"/>
      <c r="CO27" s="56"/>
      <c r="CP27" s="56"/>
      <c r="CQ27" s="56"/>
      <c r="CR27" s="56"/>
      <c r="CS27" s="56"/>
      <c r="CT27" s="56"/>
      <c r="CU27" s="56"/>
      <c r="CV27" s="56"/>
      <c r="CW27" s="56"/>
      <c r="CX27" s="56"/>
      <c r="CY27" s="56"/>
      <c r="CZ27" s="56"/>
      <c r="DA27" s="56"/>
      <c r="DB27" s="56"/>
      <c r="DC27" s="56"/>
      <c r="DD27" s="56"/>
      <c r="DE27" s="56"/>
      <c r="DF27" s="56"/>
      <c r="DG27" s="56"/>
      <c r="DH27" s="56"/>
      <c r="DI27" s="56"/>
      <c r="DJ27" s="56"/>
      <c r="DK27" s="56"/>
      <c r="DL27" s="56"/>
      <c r="DM27" s="56"/>
      <c r="DN27" s="56"/>
      <c r="DO27" s="56"/>
      <c r="DP27" s="56"/>
      <c r="DQ27" s="56"/>
      <c r="DR27" s="56"/>
      <c r="DS27" s="56"/>
      <c r="DT27" s="56"/>
      <c r="DU27" s="56"/>
      <c r="DV27" s="56"/>
      <c r="DW27" s="56"/>
      <c r="DX27" s="56"/>
      <c r="DY27" s="56"/>
      <c r="DZ27" s="56"/>
      <c r="EA27" s="56"/>
      <c r="EB27" s="56"/>
      <c r="EC27" s="56"/>
      <c r="ED27" s="56"/>
      <c r="EE27" s="56"/>
      <c r="EF27" s="56"/>
      <c r="EG27" s="56"/>
      <c r="EH27" s="56"/>
      <c r="EI27" s="56"/>
      <c r="EJ27" s="56"/>
      <c r="EK27" s="56"/>
      <c r="EL27" s="56"/>
      <c r="EM27" s="56"/>
      <c r="EN27" s="56"/>
      <c r="EO27" s="56"/>
      <c r="EP27" s="56"/>
      <c r="EQ27" s="56"/>
      <c r="ER27" s="56"/>
      <c r="ES27" s="56"/>
      <c r="ET27" s="56"/>
      <c r="EU27" s="56"/>
      <c r="EV27" s="56"/>
      <c r="EW27" s="56"/>
      <c r="EX27" s="56"/>
      <c r="EY27" s="56"/>
      <c r="EZ27" s="56"/>
      <c r="FA27" s="56"/>
      <c r="FB27" s="56"/>
      <c r="FC27" s="56"/>
      <c r="FD27" s="56"/>
      <c r="FE27" s="56"/>
      <c r="FF27" s="56"/>
      <c r="FG27" s="56"/>
      <c r="FH27" s="56"/>
      <c r="FI27" s="56"/>
      <c r="FJ27" s="56"/>
      <c r="FK27" s="56"/>
      <c r="FL27" s="56"/>
      <c r="FM27" s="56"/>
      <c r="FN27" s="56"/>
      <c r="FO27" s="56"/>
      <c r="FP27" s="56"/>
    </row>
    <row r="28" spans="1:172" s="56" customFormat="1" ht="13.5" customHeight="1" x14ac:dyDescent="0.2">
      <c r="A28" s="68" t="s">
        <v>109</v>
      </c>
      <c r="B28" s="65" t="s">
        <v>165</v>
      </c>
      <c r="C28" s="55"/>
    </row>
    <row r="29" spans="1:172" s="78" customFormat="1" ht="13.5" customHeight="1" thickBot="1" x14ac:dyDescent="0.25">
      <c r="A29" s="68"/>
      <c r="B29" s="76" t="s">
        <v>166</v>
      </c>
      <c r="C29" s="77"/>
    </row>
    <row r="30" spans="1:172" s="73" customFormat="1" ht="13.5" customHeight="1" x14ac:dyDescent="0.2">
      <c r="A30" s="67" t="s">
        <v>61</v>
      </c>
      <c r="B30" s="72" t="s">
        <v>108</v>
      </c>
      <c r="C30" s="99"/>
      <c r="D30" s="100"/>
      <c r="E30" s="100"/>
      <c r="G30" s="100"/>
      <c r="H30" s="100"/>
      <c r="J30" s="100"/>
      <c r="K30" s="100"/>
      <c r="L30" s="100"/>
      <c r="M30" s="100"/>
      <c r="N30" s="100"/>
      <c r="O30" s="100"/>
      <c r="P30" s="100"/>
      <c r="Q30" s="100"/>
      <c r="R30" s="100"/>
      <c r="S30" s="100"/>
      <c r="T30" s="100"/>
      <c r="U30" s="100"/>
      <c r="V30" s="100"/>
      <c r="W30" s="100"/>
      <c r="X30" s="100"/>
      <c r="Y30" s="100"/>
      <c r="Z30" s="100"/>
      <c r="AA30" s="100"/>
      <c r="AB30" s="100"/>
      <c r="AC30" s="100"/>
      <c r="AD30" s="100"/>
      <c r="AE30" s="100"/>
      <c r="AF30" s="100"/>
      <c r="AG30" s="100"/>
      <c r="AH30" s="100"/>
      <c r="AI30" s="100"/>
      <c r="AJ30" s="100"/>
      <c r="AK30" s="100"/>
      <c r="AL30" s="100"/>
      <c r="AM30" s="100"/>
      <c r="AN30" s="100"/>
      <c r="AO30" s="100"/>
      <c r="AP30" s="100"/>
      <c r="AQ30" s="100"/>
      <c r="AR30" s="100"/>
      <c r="AS30" s="100"/>
      <c r="AT30" s="100"/>
      <c r="AU30" s="100"/>
      <c r="AV30" s="100"/>
      <c r="AW30" s="100"/>
      <c r="AX30" s="100"/>
      <c r="AY30" s="100"/>
      <c r="AZ30" s="100"/>
      <c r="BA30" s="100"/>
      <c r="BB30" s="100"/>
      <c r="BC30" s="100"/>
      <c r="BD30" s="100"/>
      <c r="BE30" s="100"/>
      <c r="BF30" s="100"/>
      <c r="BG30" s="100"/>
      <c r="BH30" s="100"/>
      <c r="BI30" s="100"/>
      <c r="BJ30" s="100"/>
      <c r="BK30" s="100"/>
      <c r="BL30" s="100"/>
      <c r="BM30" s="100"/>
      <c r="BN30" s="100"/>
      <c r="BO30" s="100"/>
      <c r="BP30" s="100"/>
      <c r="BQ30" s="100"/>
      <c r="BR30" s="100"/>
      <c r="BS30" s="100"/>
      <c r="BT30" s="100"/>
      <c r="BU30" s="100"/>
      <c r="BV30" s="100"/>
      <c r="BW30" s="100"/>
      <c r="BX30" s="100"/>
      <c r="BY30" s="100"/>
      <c r="BZ30" s="100"/>
      <c r="CA30" s="100"/>
      <c r="CB30" s="100"/>
      <c r="CC30" s="100"/>
      <c r="CD30" s="100"/>
      <c r="CE30" s="100"/>
      <c r="CF30" s="100"/>
      <c r="CG30" s="100"/>
      <c r="CH30" s="100"/>
      <c r="CI30" s="100"/>
      <c r="CJ30" s="100"/>
      <c r="CK30" s="100"/>
      <c r="CL30" s="100"/>
      <c r="CM30" s="100"/>
      <c r="CN30" s="100"/>
      <c r="CP30" s="100"/>
      <c r="CQ30" s="100"/>
      <c r="CR30" s="100"/>
      <c r="CS30" s="100"/>
      <c r="CT30" s="100"/>
      <c r="CU30" s="100"/>
      <c r="CV30" s="100"/>
      <c r="CW30" s="100"/>
      <c r="CX30" s="100"/>
      <c r="CY30" s="100"/>
      <c r="CZ30" s="100"/>
      <c r="DB30" s="100"/>
      <c r="DC30" s="100"/>
      <c r="DD30" s="100"/>
      <c r="DE30" s="100"/>
      <c r="DF30" s="100"/>
      <c r="DG30" s="100"/>
      <c r="DH30" s="100"/>
      <c r="DI30" s="100"/>
      <c r="DJ30" s="100"/>
      <c r="DK30" s="100"/>
      <c r="DL30" s="100"/>
      <c r="DM30" s="100"/>
      <c r="DN30" s="100"/>
      <c r="DO30" s="100"/>
      <c r="DP30" s="100"/>
      <c r="DQ30" s="100"/>
      <c r="DR30" s="100"/>
      <c r="DS30" s="100"/>
      <c r="DT30" s="100"/>
      <c r="DU30" s="100"/>
      <c r="DV30" s="100"/>
      <c r="DX30" s="100"/>
      <c r="DY30" s="100"/>
      <c r="DZ30" s="100"/>
      <c r="EA30" s="100"/>
      <c r="EB30" s="100"/>
      <c r="EC30" s="100"/>
      <c r="ED30" s="100"/>
      <c r="EE30" s="100"/>
      <c r="EF30" s="100"/>
      <c r="EG30" s="100"/>
      <c r="EH30" s="100"/>
      <c r="EI30" s="100"/>
      <c r="EJ30" s="100"/>
      <c r="EK30" s="100"/>
      <c r="EL30" s="100"/>
      <c r="EM30" s="100"/>
      <c r="EN30" s="100"/>
      <c r="EO30" s="100"/>
      <c r="EP30" s="100"/>
      <c r="EQ30" s="100"/>
      <c r="ER30" s="100"/>
      <c r="ES30" s="100"/>
      <c r="ET30" s="100"/>
      <c r="EU30" s="100"/>
      <c r="EV30" s="100"/>
      <c r="EW30" s="100"/>
      <c r="EX30" s="100"/>
      <c r="EY30" s="100"/>
      <c r="EZ30" s="100"/>
      <c r="FA30" s="100"/>
      <c r="FB30" s="100"/>
      <c r="FC30" s="100"/>
      <c r="FD30" s="100"/>
      <c r="FE30" s="100"/>
      <c r="FF30" s="100"/>
      <c r="FG30" s="100"/>
      <c r="FH30" s="100"/>
      <c r="FI30" s="100"/>
      <c r="FJ30" s="100"/>
      <c r="FK30" s="100"/>
      <c r="FL30" s="100"/>
      <c r="FM30" s="100"/>
      <c r="FN30" s="100"/>
      <c r="FO30" s="100"/>
    </row>
    <row r="31" spans="1:172" s="56" customFormat="1" ht="13.5" customHeight="1" x14ac:dyDescent="0.2">
      <c r="A31" s="68" t="s">
        <v>62</v>
      </c>
      <c r="B31" s="65" t="s">
        <v>152</v>
      </c>
      <c r="C31" s="264"/>
      <c r="D31" s="91"/>
      <c r="E31" s="91"/>
      <c r="G31" s="91"/>
      <c r="H31" s="91"/>
      <c r="J31" s="91"/>
      <c r="K31" s="91"/>
      <c r="L31" s="91"/>
      <c r="M31" s="91"/>
      <c r="N31" s="91"/>
      <c r="O31" s="91"/>
      <c r="P31" s="91"/>
      <c r="Q31" s="91"/>
      <c r="R31" s="91"/>
      <c r="S31" s="91"/>
      <c r="T31" s="91"/>
      <c r="U31" s="91"/>
      <c r="V31" s="91"/>
      <c r="W31" s="91"/>
      <c r="X31" s="91"/>
      <c r="Y31" s="91"/>
      <c r="Z31" s="91"/>
      <c r="AA31" s="91"/>
      <c r="AB31" s="91"/>
      <c r="AC31" s="91"/>
      <c r="AD31" s="91"/>
      <c r="AE31" s="91"/>
      <c r="AF31" s="91"/>
      <c r="AG31" s="91"/>
      <c r="AH31" s="91"/>
      <c r="AI31" s="91"/>
      <c r="AJ31" s="91"/>
      <c r="AK31" s="91"/>
      <c r="AL31" s="91"/>
      <c r="AM31" s="91"/>
      <c r="AN31" s="91"/>
      <c r="AO31" s="91"/>
      <c r="AP31" s="91"/>
      <c r="AQ31" s="91"/>
      <c r="AR31" s="91"/>
      <c r="AS31" s="91"/>
      <c r="AT31" s="91"/>
      <c r="AU31" s="91"/>
      <c r="AV31" s="91"/>
      <c r="AW31" s="91"/>
      <c r="AX31" s="91"/>
      <c r="AY31" s="91"/>
      <c r="AZ31" s="91"/>
      <c r="BA31" s="91"/>
      <c r="BB31" s="91"/>
      <c r="BC31" s="91"/>
      <c r="BD31" s="91"/>
      <c r="BE31" s="91"/>
      <c r="BF31" s="91"/>
      <c r="BG31" s="91"/>
      <c r="BH31" s="91"/>
      <c r="BI31" s="91"/>
      <c r="BJ31" s="91"/>
      <c r="BK31" s="91"/>
      <c r="BL31" s="91"/>
      <c r="BM31" s="91"/>
      <c r="BN31" s="91"/>
      <c r="BO31" s="91"/>
      <c r="BP31" s="91"/>
      <c r="BQ31" s="91"/>
      <c r="BR31" s="91"/>
      <c r="BS31" s="91"/>
      <c r="BT31" s="91"/>
      <c r="BU31" s="91"/>
      <c r="BV31" s="91"/>
      <c r="BW31" s="91"/>
      <c r="BX31" s="91"/>
      <c r="BY31" s="91"/>
      <c r="BZ31" s="91"/>
      <c r="CA31" s="91"/>
      <c r="CB31" s="91"/>
      <c r="CC31" s="91"/>
      <c r="CD31" s="91"/>
      <c r="CE31" s="91"/>
      <c r="CF31" s="91"/>
      <c r="CG31" s="91"/>
      <c r="CH31" s="91"/>
      <c r="CI31" s="91"/>
      <c r="CJ31" s="91"/>
      <c r="CK31" s="91"/>
      <c r="CL31" s="91"/>
      <c r="CM31" s="91"/>
      <c r="CN31" s="91"/>
      <c r="CP31" s="91"/>
      <c r="CQ31" s="91"/>
      <c r="CR31" s="91"/>
      <c r="CS31" s="91"/>
      <c r="CT31" s="91"/>
      <c r="CU31" s="91"/>
      <c r="CV31" s="91"/>
      <c r="CW31" s="91"/>
      <c r="CX31" s="91"/>
      <c r="CY31" s="91"/>
      <c r="CZ31" s="91"/>
      <c r="DB31" s="91"/>
      <c r="DC31" s="91"/>
      <c r="DD31" s="91"/>
      <c r="DE31" s="91"/>
      <c r="DF31" s="91"/>
      <c r="DG31" s="91"/>
      <c r="DH31" s="91"/>
      <c r="DI31" s="91"/>
      <c r="DJ31" s="91"/>
      <c r="DK31" s="91"/>
      <c r="DL31" s="91"/>
      <c r="DM31" s="91"/>
      <c r="DN31" s="91"/>
      <c r="DO31" s="91"/>
      <c r="DP31" s="91"/>
      <c r="DQ31" s="91"/>
      <c r="DR31" s="91"/>
      <c r="DS31" s="91"/>
      <c r="DT31" s="91"/>
      <c r="DU31" s="91"/>
      <c r="DV31" s="91"/>
      <c r="DX31" s="91"/>
      <c r="DY31" s="91"/>
      <c r="DZ31" s="91"/>
      <c r="EA31" s="91"/>
      <c r="EB31" s="91"/>
      <c r="EC31" s="91"/>
      <c r="ED31" s="91"/>
      <c r="EE31" s="91"/>
      <c r="EF31" s="91"/>
      <c r="EG31" s="91"/>
      <c r="EH31" s="91"/>
      <c r="EI31" s="91"/>
      <c r="EJ31" s="91"/>
      <c r="EK31" s="91"/>
      <c r="EL31" s="91"/>
      <c r="EM31" s="91"/>
      <c r="EN31" s="91"/>
      <c r="EO31" s="91"/>
      <c r="EP31" s="91"/>
      <c r="EQ31" s="91"/>
      <c r="ER31" s="91"/>
      <c r="ES31" s="91"/>
      <c r="ET31" s="91"/>
      <c r="EU31" s="91"/>
      <c r="EV31" s="91"/>
      <c r="EW31" s="91"/>
      <c r="EX31" s="91"/>
      <c r="EY31" s="91"/>
      <c r="EZ31" s="91"/>
      <c r="FA31" s="91"/>
      <c r="FB31" s="91"/>
      <c r="FC31" s="91"/>
      <c r="FD31" s="91"/>
      <c r="FE31" s="91"/>
      <c r="FF31" s="91"/>
      <c r="FG31" s="91"/>
      <c r="FH31" s="91"/>
      <c r="FI31" s="91"/>
      <c r="FJ31" s="91"/>
      <c r="FK31" s="91"/>
      <c r="FL31" s="91"/>
      <c r="FM31" s="91"/>
      <c r="FN31" s="91"/>
      <c r="FO31" s="91"/>
    </row>
    <row r="32" spans="1:172" s="56" customFormat="1" ht="13.5" customHeight="1" x14ac:dyDescent="0.2">
      <c r="A32" s="68" t="s">
        <v>112</v>
      </c>
      <c r="B32" s="65" t="s">
        <v>153</v>
      </c>
      <c r="C32" s="264"/>
      <c r="D32" s="91"/>
      <c r="E32" s="91"/>
      <c r="G32" s="91"/>
      <c r="H32" s="91"/>
      <c r="J32" s="91"/>
      <c r="K32" s="91"/>
      <c r="L32" s="91"/>
      <c r="M32" s="91"/>
      <c r="N32" s="91"/>
      <c r="O32" s="91"/>
      <c r="P32" s="91"/>
      <c r="Q32" s="91"/>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91"/>
      <c r="AR32" s="91"/>
      <c r="AS32" s="91"/>
      <c r="AT32" s="91"/>
      <c r="AU32" s="91"/>
      <c r="AV32" s="91"/>
      <c r="AW32" s="91"/>
      <c r="AX32" s="91"/>
      <c r="AY32" s="91"/>
      <c r="AZ32" s="91"/>
      <c r="BA32" s="91"/>
      <c r="BB32" s="91"/>
      <c r="BC32" s="91"/>
      <c r="BD32" s="91"/>
      <c r="BE32" s="91"/>
      <c r="BF32" s="91"/>
      <c r="BG32" s="91"/>
      <c r="BH32" s="91"/>
      <c r="BI32" s="91"/>
      <c r="BJ32" s="91"/>
      <c r="BK32" s="91"/>
      <c r="BL32" s="91"/>
      <c r="BM32" s="91"/>
      <c r="BN32" s="91"/>
      <c r="BO32" s="91"/>
      <c r="BP32" s="91"/>
      <c r="BQ32" s="91"/>
      <c r="BR32" s="91"/>
      <c r="BS32" s="91"/>
      <c r="BT32" s="91"/>
      <c r="BU32" s="91"/>
      <c r="BV32" s="91"/>
      <c r="BW32" s="91"/>
      <c r="BX32" s="91"/>
      <c r="BY32" s="91"/>
      <c r="BZ32" s="91"/>
      <c r="CA32" s="91"/>
      <c r="CB32" s="91"/>
      <c r="CC32" s="91"/>
      <c r="CD32" s="91"/>
      <c r="CE32" s="91"/>
      <c r="CF32" s="91"/>
      <c r="CG32" s="91"/>
      <c r="CH32" s="91"/>
      <c r="CI32" s="91"/>
      <c r="CJ32" s="91"/>
      <c r="CK32" s="91"/>
      <c r="CL32" s="91"/>
      <c r="CM32" s="91"/>
      <c r="CN32" s="91"/>
      <c r="CP32" s="91"/>
      <c r="CQ32" s="91"/>
      <c r="CR32" s="91"/>
      <c r="CS32" s="91"/>
      <c r="CT32" s="91"/>
      <c r="CU32" s="91"/>
      <c r="CV32" s="91"/>
      <c r="CW32" s="91"/>
      <c r="CX32" s="91"/>
      <c r="CY32" s="91"/>
      <c r="CZ32" s="91"/>
      <c r="DB32" s="91"/>
      <c r="DC32" s="91"/>
      <c r="DD32" s="91"/>
      <c r="DE32" s="91"/>
      <c r="DF32" s="91"/>
      <c r="DG32" s="91"/>
      <c r="DH32" s="91"/>
      <c r="DI32" s="91"/>
      <c r="DJ32" s="91"/>
      <c r="DK32" s="91"/>
      <c r="DL32" s="91"/>
      <c r="DM32" s="91"/>
      <c r="DN32" s="91"/>
      <c r="DO32" s="91"/>
      <c r="DP32" s="91"/>
      <c r="DQ32" s="91"/>
      <c r="DR32" s="91"/>
      <c r="DS32" s="91"/>
      <c r="DT32" s="91"/>
      <c r="DU32" s="91"/>
      <c r="DV32" s="91"/>
      <c r="DX32" s="91"/>
      <c r="DY32" s="91"/>
      <c r="DZ32" s="91"/>
      <c r="EA32" s="91"/>
      <c r="EB32" s="91"/>
      <c r="EC32" s="91"/>
      <c r="ED32" s="91"/>
      <c r="EE32" s="91"/>
      <c r="EF32" s="91"/>
      <c r="EG32" s="91"/>
      <c r="EH32" s="91"/>
      <c r="EI32" s="91"/>
      <c r="EJ32" s="91"/>
      <c r="EK32" s="91"/>
      <c r="EL32" s="91"/>
      <c r="EM32" s="91"/>
      <c r="EN32" s="91"/>
      <c r="EO32" s="91"/>
      <c r="EP32" s="91"/>
      <c r="EQ32" s="91"/>
      <c r="ER32" s="91"/>
      <c r="ES32" s="91"/>
      <c r="ET32" s="91"/>
      <c r="EU32" s="91"/>
      <c r="EV32" s="91"/>
      <c r="EW32" s="91"/>
      <c r="EX32" s="91"/>
      <c r="EY32" s="91"/>
      <c r="EZ32" s="91"/>
      <c r="FA32" s="91"/>
      <c r="FB32" s="91"/>
      <c r="FC32" s="91"/>
      <c r="FD32" s="91"/>
      <c r="FE32" s="91"/>
      <c r="FF32" s="91"/>
      <c r="FG32" s="91"/>
      <c r="FH32" s="91"/>
      <c r="FI32" s="91"/>
      <c r="FJ32" s="91"/>
      <c r="FK32" s="91"/>
      <c r="FL32" s="91"/>
      <c r="FM32" s="91"/>
      <c r="FN32" s="91"/>
      <c r="FO32" s="91"/>
    </row>
    <row r="33" spans="1:172" s="75" customFormat="1" ht="13.5" customHeight="1" thickBot="1" x14ac:dyDescent="0.25">
      <c r="A33" s="69"/>
      <c r="B33" s="76" t="s">
        <v>154</v>
      </c>
      <c r="C33" s="265"/>
      <c r="D33" s="92"/>
      <c r="E33" s="92"/>
      <c r="G33" s="92"/>
      <c r="H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2"/>
      <c r="BL33" s="92"/>
      <c r="BM33" s="92"/>
      <c r="BN33" s="92"/>
      <c r="BO33" s="92"/>
      <c r="BP33" s="92"/>
      <c r="BQ33" s="92"/>
      <c r="BR33" s="92"/>
      <c r="BS33" s="92"/>
      <c r="BT33" s="92"/>
      <c r="BU33" s="92"/>
      <c r="BV33" s="92"/>
      <c r="BW33" s="92"/>
      <c r="BX33" s="92"/>
      <c r="BY33" s="92"/>
      <c r="BZ33" s="92"/>
      <c r="CA33" s="92"/>
      <c r="CB33" s="92"/>
      <c r="CC33" s="92"/>
      <c r="CD33" s="92"/>
      <c r="CE33" s="92"/>
      <c r="CF33" s="92"/>
      <c r="CG33" s="92"/>
      <c r="CH33" s="92"/>
      <c r="CI33" s="92"/>
      <c r="CJ33" s="92"/>
      <c r="CK33" s="92"/>
      <c r="CL33" s="92"/>
      <c r="CM33" s="92"/>
      <c r="CN33" s="92"/>
      <c r="CP33" s="92"/>
      <c r="CQ33" s="92"/>
      <c r="CR33" s="92"/>
      <c r="CS33" s="92"/>
      <c r="CT33" s="92"/>
      <c r="CU33" s="92"/>
      <c r="CV33" s="92"/>
      <c r="CW33" s="92"/>
      <c r="CX33" s="92"/>
      <c r="CY33" s="92"/>
      <c r="CZ33" s="92"/>
      <c r="DB33" s="92"/>
      <c r="DC33" s="92"/>
      <c r="DD33" s="92"/>
      <c r="DE33" s="92"/>
      <c r="DF33" s="92"/>
      <c r="DG33" s="92"/>
      <c r="DH33" s="92"/>
      <c r="DI33" s="92"/>
      <c r="DJ33" s="92"/>
      <c r="DK33" s="92"/>
      <c r="DL33" s="92"/>
      <c r="DM33" s="92"/>
      <c r="DN33" s="92"/>
      <c r="DO33" s="92"/>
      <c r="DP33" s="92"/>
      <c r="DQ33" s="92"/>
      <c r="DR33" s="92"/>
      <c r="DS33" s="92"/>
      <c r="DT33" s="92"/>
      <c r="DU33" s="92"/>
      <c r="DV33" s="92"/>
      <c r="DX33" s="92"/>
      <c r="DY33" s="92"/>
      <c r="DZ33" s="92"/>
      <c r="EA33" s="92"/>
      <c r="EB33" s="92"/>
      <c r="EC33" s="92"/>
      <c r="ED33" s="92"/>
      <c r="EE33" s="92"/>
      <c r="EF33" s="92"/>
      <c r="EG33" s="92"/>
      <c r="EH33" s="92"/>
      <c r="EI33" s="92"/>
      <c r="EJ33" s="92"/>
      <c r="EK33" s="92"/>
      <c r="EL33" s="92"/>
      <c r="EM33" s="92"/>
      <c r="EN33" s="92"/>
      <c r="EO33" s="92"/>
      <c r="EP33" s="92"/>
      <c r="EQ33" s="92"/>
      <c r="ER33" s="92"/>
      <c r="ES33" s="92"/>
      <c r="ET33" s="92"/>
      <c r="EU33" s="92"/>
      <c r="EV33" s="92"/>
      <c r="EW33" s="92"/>
      <c r="EX33" s="92"/>
      <c r="EY33" s="92"/>
      <c r="EZ33" s="92"/>
      <c r="FA33" s="92"/>
      <c r="FB33" s="92"/>
      <c r="FC33" s="92"/>
      <c r="FD33" s="92"/>
      <c r="FE33" s="92"/>
      <c r="FF33" s="92"/>
      <c r="FG33" s="92"/>
      <c r="FH33" s="92"/>
      <c r="FI33" s="92"/>
      <c r="FJ33" s="92"/>
      <c r="FK33" s="92"/>
      <c r="FL33" s="92"/>
      <c r="FM33" s="92"/>
      <c r="FN33" s="92"/>
      <c r="FO33" s="92"/>
    </row>
    <row r="34" spans="1:172" s="73" customFormat="1" ht="13.5" customHeight="1" x14ac:dyDescent="0.2">
      <c r="A34" s="66"/>
      <c r="B34" s="82" t="s">
        <v>155</v>
      </c>
      <c r="C34" s="110"/>
      <c r="D34" s="100"/>
      <c r="E34" s="100"/>
      <c r="G34" s="100"/>
      <c r="H34" s="100"/>
      <c r="J34" s="100"/>
      <c r="K34" s="100"/>
      <c r="L34" s="100"/>
      <c r="M34" s="100"/>
      <c r="N34" s="100"/>
      <c r="O34" s="100"/>
      <c r="P34" s="100"/>
      <c r="Q34" s="100"/>
      <c r="R34" s="100"/>
      <c r="S34" s="100"/>
      <c r="T34" s="100"/>
      <c r="U34" s="100"/>
      <c r="V34" s="100"/>
      <c r="W34" s="100"/>
      <c r="X34" s="100"/>
      <c r="Y34" s="100"/>
      <c r="Z34" s="100"/>
      <c r="AA34" s="100"/>
      <c r="AB34" s="100"/>
      <c r="AC34" s="100"/>
      <c r="AD34" s="100"/>
      <c r="AE34" s="100"/>
      <c r="AF34" s="100"/>
      <c r="AG34" s="100"/>
      <c r="AH34" s="100"/>
      <c r="AI34" s="100"/>
      <c r="AJ34" s="100"/>
      <c r="AK34" s="100"/>
      <c r="AL34" s="100"/>
      <c r="AM34" s="100"/>
      <c r="AN34" s="100"/>
      <c r="AO34" s="100"/>
      <c r="AP34" s="100"/>
      <c r="AQ34" s="100"/>
      <c r="AR34" s="100"/>
      <c r="AS34" s="100"/>
      <c r="AT34" s="100"/>
      <c r="AU34" s="100"/>
      <c r="AV34" s="100"/>
      <c r="AW34" s="100"/>
      <c r="AX34" s="100"/>
      <c r="AY34" s="100"/>
      <c r="AZ34" s="100"/>
      <c r="BA34" s="100"/>
      <c r="BB34" s="100"/>
      <c r="BC34" s="100"/>
      <c r="BD34" s="100"/>
      <c r="BE34" s="100"/>
      <c r="BF34" s="100"/>
      <c r="BG34" s="100"/>
      <c r="BH34" s="100"/>
      <c r="BI34" s="100"/>
      <c r="BJ34" s="100"/>
      <c r="BK34" s="100"/>
      <c r="BL34" s="100"/>
      <c r="BM34" s="100"/>
      <c r="BN34" s="100"/>
      <c r="BO34" s="209"/>
      <c r="BP34" s="209"/>
      <c r="BQ34" s="209"/>
      <c r="BR34" s="209"/>
      <c r="BS34" s="100"/>
      <c r="BT34" s="100"/>
      <c r="BU34" s="100"/>
      <c r="BV34" s="100"/>
      <c r="BW34" s="209"/>
      <c r="BX34" s="209"/>
      <c r="BY34" s="209"/>
      <c r="BZ34" s="209"/>
      <c r="CA34" s="100"/>
      <c r="CB34" s="100"/>
      <c r="CC34" s="209"/>
      <c r="CD34" s="209"/>
      <c r="CG34" s="209"/>
      <c r="CH34" s="209"/>
      <c r="CI34" s="209"/>
      <c r="CJ34" s="209"/>
      <c r="CK34" s="100"/>
      <c r="CL34" s="100"/>
      <c r="CM34" s="100"/>
      <c r="CN34" s="100"/>
      <c r="CP34" s="100"/>
      <c r="CQ34" s="100"/>
      <c r="CR34" s="100"/>
      <c r="CS34" s="100"/>
      <c r="CT34" s="100"/>
      <c r="CU34" s="100"/>
      <c r="CV34" s="100"/>
      <c r="CW34" s="100"/>
      <c r="CX34" s="100"/>
      <c r="CY34" s="100"/>
      <c r="CZ34" s="100"/>
      <c r="DB34" s="100"/>
      <c r="DC34" s="100"/>
      <c r="DD34" s="100"/>
      <c r="DE34" s="100"/>
      <c r="DF34" s="100"/>
      <c r="DG34" s="100"/>
      <c r="DH34" s="100"/>
      <c r="DI34" s="100"/>
      <c r="DJ34" s="100"/>
      <c r="DK34" s="100"/>
      <c r="DL34" s="100"/>
      <c r="DM34" s="100"/>
      <c r="DN34" s="100"/>
      <c r="DO34" s="100"/>
      <c r="DP34" s="100"/>
      <c r="DQ34" s="100"/>
      <c r="DR34" s="100"/>
      <c r="DS34" s="100"/>
      <c r="DT34" s="100"/>
      <c r="DU34" s="100"/>
      <c r="DV34" s="100"/>
      <c r="DX34" s="100"/>
      <c r="DY34" s="100"/>
      <c r="DZ34" s="100"/>
      <c r="EA34" s="100"/>
      <c r="EB34" s="100"/>
      <c r="EC34" s="100"/>
      <c r="ED34" s="100"/>
      <c r="EE34" s="100"/>
      <c r="EF34" s="100"/>
      <c r="EG34" s="100"/>
      <c r="EH34" s="100"/>
      <c r="EI34" s="100"/>
      <c r="EJ34" s="100"/>
      <c r="EK34" s="100"/>
      <c r="EL34" s="100"/>
      <c r="EM34" s="100"/>
      <c r="EN34" s="100"/>
      <c r="EO34" s="100"/>
      <c r="EP34" s="100"/>
      <c r="EQ34" s="100"/>
      <c r="ER34" s="100"/>
      <c r="ES34" s="100"/>
      <c r="ET34" s="100"/>
      <c r="EU34" s="100"/>
      <c r="EV34" s="100"/>
      <c r="EW34" s="100"/>
      <c r="EX34" s="100"/>
      <c r="EY34" s="100"/>
      <c r="EZ34" s="100"/>
      <c r="FA34" s="100"/>
      <c r="FB34" s="100"/>
      <c r="FC34" s="100"/>
      <c r="FD34" s="100"/>
      <c r="FE34" s="100"/>
      <c r="FF34" s="100"/>
      <c r="FG34" s="100"/>
      <c r="FH34" s="100"/>
      <c r="FI34" s="100"/>
      <c r="FJ34" s="100"/>
      <c r="FK34" s="100"/>
      <c r="FL34" s="100"/>
      <c r="FM34" s="100"/>
      <c r="FN34" s="100"/>
      <c r="FO34" s="100"/>
    </row>
    <row r="35" spans="1:172" s="56" customFormat="1" ht="13.5" customHeight="1" x14ac:dyDescent="0.2">
      <c r="A35" s="66"/>
      <c r="B35" s="83" t="s">
        <v>156</v>
      </c>
      <c r="C35" s="80"/>
      <c r="CD35" s="101"/>
      <c r="CE35" s="101"/>
      <c r="CF35" s="101"/>
      <c r="CT35" s="91"/>
      <c r="CV35" s="91"/>
      <c r="CW35" s="91"/>
      <c r="EB35" s="91"/>
      <c r="EG35" s="91"/>
      <c r="EH35" s="91"/>
      <c r="EN35" s="91"/>
      <c r="ES35" s="91"/>
      <c r="ET35" s="91"/>
      <c r="EU35" s="91"/>
      <c r="FI35" s="91"/>
    </row>
    <row r="36" spans="1:172" s="56" customFormat="1" ht="13.5" customHeight="1" x14ac:dyDescent="0.2">
      <c r="A36" s="66"/>
      <c r="B36" s="83" t="s">
        <v>157</v>
      </c>
      <c r="C36" s="80"/>
      <c r="CE36" s="91"/>
      <c r="CF36" s="91"/>
      <c r="CT36" s="91"/>
      <c r="EB36" s="91"/>
    </row>
    <row r="37" spans="1:172" s="91" customFormat="1" ht="13.5" customHeight="1" x14ac:dyDescent="0.2">
      <c r="A37" s="66"/>
      <c r="B37" s="83" t="s">
        <v>83</v>
      </c>
      <c r="C37" s="80"/>
      <c r="D37" s="56"/>
      <c r="E37" s="56"/>
      <c r="F37" s="56"/>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56"/>
      <c r="AI37" s="56"/>
      <c r="AJ37" s="56"/>
      <c r="AK37" s="56"/>
      <c r="AL37" s="56"/>
      <c r="AM37" s="56"/>
      <c r="AN37" s="56"/>
      <c r="AO37" s="56"/>
      <c r="AP37" s="56"/>
      <c r="AQ37" s="56"/>
      <c r="AR37" s="56"/>
      <c r="AS37" s="56"/>
      <c r="AT37" s="56"/>
      <c r="AU37" s="56"/>
      <c r="AV37" s="56"/>
      <c r="AW37" s="56"/>
      <c r="AX37" s="56"/>
      <c r="AY37" s="56"/>
      <c r="AZ37" s="56"/>
      <c r="BA37" s="56"/>
      <c r="BB37" s="56"/>
      <c r="BC37" s="56"/>
      <c r="BD37" s="56"/>
      <c r="BE37" s="56"/>
      <c r="BF37" s="56"/>
      <c r="BG37" s="56"/>
      <c r="BH37" s="56"/>
      <c r="BI37" s="56"/>
      <c r="BJ37" s="56"/>
      <c r="BK37" s="56"/>
      <c r="BL37" s="56"/>
      <c r="BM37" s="56"/>
      <c r="BN37" s="56"/>
      <c r="BO37" s="56"/>
      <c r="BP37" s="56"/>
      <c r="BQ37" s="56"/>
      <c r="BR37" s="56"/>
      <c r="BS37" s="56"/>
      <c r="BT37" s="56"/>
      <c r="BU37" s="56"/>
      <c r="BV37" s="56"/>
      <c r="BW37" s="56"/>
      <c r="BX37" s="56"/>
      <c r="BY37" s="56"/>
      <c r="BZ37" s="56"/>
      <c r="CA37" s="56"/>
      <c r="CB37" s="56"/>
      <c r="CC37" s="56"/>
      <c r="CD37" s="56"/>
      <c r="CE37" s="56"/>
      <c r="CF37" s="56"/>
      <c r="CG37" s="56"/>
      <c r="CH37" s="56"/>
      <c r="CI37" s="56"/>
      <c r="CJ37" s="56"/>
      <c r="CK37" s="56"/>
      <c r="CL37" s="56"/>
      <c r="CM37" s="56"/>
      <c r="CN37" s="56"/>
      <c r="CO37" s="56"/>
      <c r="CP37" s="56"/>
      <c r="CQ37" s="56"/>
      <c r="CR37" s="56"/>
      <c r="CS37" s="56"/>
      <c r="CT37" s="56"/>
      <c r="CU37" s="56"/>
      <c r="CV37" s="56"/>
      <c r="CW37" s="56"/>
      <c r="CX37" s="56"/>
      <c r="CY37" s="56"/>
      <c r="CZ37" s="56"/>
      <c r="DA37" s="56"/>
      <c r="DB37" s="56"/>
      <c r="DC37" s="56"/>
      <c r="DD37" s="56"/>
      <c r="DE37" s="56"/>
      <c r="DF37" s="56"/>
      <c r="DG37" s="56"/>
      <c r="DH37" s="56"/>
      <c r="DI37" s="56"/>
      <c r="DJ37" s="56"/>
      <c r="DK37" s="56"/>
      <c r="DL37" s="56"/>
      <c r="DM37" s="56"/>
      <c r="DN37" s="56"/>
      <c r="DO37" s="56"/>
      <c r="DP37" s="56"/>
      <c r="DQ37" s="56"/>
      <c r="DR37" s="56"/>
      <c r="DS37" s="56"/>
      <c r="DT37" s="56"/>
      <c r="DU37" s="56"/>
      <c r="DV37" s="56"/>
      <c r="DW37" s="56"/>
      <c r="DX37" s="56"/>
      <c r="DY37" s="56"/>
      <c r="DZ37" s="56"/>
      <c r="EA37" s="56"/>
      <c r="EB37" s="56"/>
      <c r="EC37" s="56"/>
      <c r="ED37" s="56"/>
      <c r="EE37" s="56"/>
      <c r="EF37" s="56"/>
      <c r="EG37" s="56"/>
      <c r="EH37" s="56"/>
      <c r="EI37" s="56"/>
      <c r="EJ37" s="56"/>
      <c r="EK37" s="56"/>
      <c r="EL37" s="56"/>
      <c r="EM37" s="56"/>
      <c r="EN37" s="56"/>
      <c r="EO37" s="56"/>
      <c r="EP37" s="56"/>
      <c r="EQ37" s="56"/>
      <c r="ER37" s="56"/>
      <c r="ES37" s="56"/>
      <c r="ET37" s="56"/>
      <c r="EU37" s="56"/>
      <c r="EV37" s="56"/>
      <c r="EW37" s="56"/>
      <c r="EX37" s="56"/>
      <c r="EY37" s="56"/>
      <c r="EZ37" s="56"/>
      <c r="FA37" s="56"/>
      <c r="FB37" s="56"/>
      <c r="FC37" s="56"/>
      <c r="FD37" s="56"/>
      <c r="FE37" s="56"/>
      <c r="FF37" s="56"/>
      <c r="FG37" s="56"/>
      <c r="FH37" s="56"/>
      <c r="FI37" s="56"/>
      <c r="FJ37" s="56"/>
      <c r="FK37" s="56"/>
      <c r="FL37" s="56"/>
      <c r="FM37" s="56"/>
      <c r="FN37" s="56"/>
      <c r="FO37" s="56"/>
      <c r="FP37" s="56"/>
    </row>
    <row r="38" spans="1:172" s="91" customFormat="1" ht="13.5" customHeight="1" x14ac:dyDescent="0.2">
      <c r="A38" s="66"/>
      <c r="B38" s="83" t="s">
        <v>84</v>
      </c>
      <c r="C38" s="80"/>
      <c r="D38" s="56"/>
      <c r="E38" s="56"/>
      <c r="F38" s="56"/>
      <c r="G38" s="56"/>
      <c r="H38" s="56"/>
      <c r="I38" s="56"/>
      <c r="J38" s="56"/>
      <c r="K38" s="56"/>
      <c r="L38" s="56"/>
      <c r="M38" s="56"/>
      <c r="N38" s="56"/>
      <c r="O38" s="56"/>
      <c r="P38" s="56"/>
      <c r="Q38" s="56"/>
      <c r="R38" s="56"/>
      <c r="S38" s="56"/>
      <c r="T38" s="56"/>
      <c r="U38" s="56"/>
      <c r="V38" s="56"/>
      <c r="W38" s="56"/>
      <c r="X38" s="56"/>
      <c r="Y38" s="56"/>
      <c r="Z38" s="56"/>
      <c r="AA38" s="56"/>
      <c r="AB38" s="56"/>
      <c r="AC38" s="56"/>
      <c r="AD38" s="56"/>
      <c r="AE38" s="56"/>
      <c r="AF38" s="56"/>
      <c r="AG38" s="56"/>
      <c r="AH38" s="56"/>
      <c r="AI38" s="56"/>
      <c r="AJ38" s="56"/>
      <c r="AK38" s="56"/>
      <c r="AL38" s="56"/>
      <c r="AM38" s="56"/>
      <c r="AN38" s="56"/>
      <c r="AO38" s="56"/>
      <c r="AP38" s="56"/>
      <c r="AQ38" s="56"/>
      <c r="AR38" s="56"/>
      <c r="AS38" s="56"/>
      <c r="AT38" s="56"/>
      <c r="AU38" s="56"/>
      <c r="AV38" s="56"/>
      <c r="AW38" s="56"/>
      <c r="AX38" s="56"/>
      <c r="AY38" s="56"/>
      <c r="AZ38" s="56"/>
      <c r="BA38" s="56"/>
      <c r="BB38" s="56"/>
      <c r="BC38" s="56"/>
      <c r="BD38" s="56"/>
      <c r="BE38" s="56"/>
      <c r="BF38" s="56"/>
      <c r="BG38" s="56"/>
      <c r="BH38" s="56"/>
      <c r="BI38" s="56"/>
      <c r="BJ38" s="56"/>
      <c r="BK38" s="56"/>
      <c r="BL38" s="56"/>
      <c r="BM38" s="56"/>
      <c r="BN38" s="56"/>
      <c r="BO38" s="56"/>
      <c r="BP38" s="56"/>
      <c r="BQ38" s="56"/>
      <c r="BR38" s="56"/>
      <c r="BS38" s="56"/>
      <c r="BT38" s="56"/>
      <c r="BU38" s="56"/>
      <c r="BV38" s="56"/>
      <c r="BW38" s="56"/>
      <c r="BX38" s="56"/>
      <c r="BY38" s="56"/>
      <c r="BZ38" s="56"/>
      <c r="CA38" s="56"/>
      <c r="CB38" s="56"/>
      <c r="CC38" s="56"/>
      <c r="CD38" s="56"/>
      <c r="CE38" s="56"/>
      <c r="CF38" s="56"/>
      <c r="CG38" s="56"/>
      <c r="CH38" s="56"/>
      <c r="CI38" s="56"/>
      <c r="CJ38" s="56"/>
      <c r="CK38" s="56"/>
      <c r="CL38" s="56"/>
      <c r="CM38" s="56"/>
      <c r="CN38" s="56"/>
      <c r="CO38" s="56"/>
      <c r="CP38" s="56"/>
      <c r="CQ38" s="56"/>
      <c r="CR38" s="56"/>
      <c r="CS38" s="56"/>
      <c r="CT38" s="56"/>
      <c r="CU38" s="56"/>
      <c r="CV38" s="56"/>
      <c r="CW38" s="56"/>
      <c r="CX38" s="56"/>
      <c r="CY38" s="56"/>
      <c r="CZ38" s="56"/>
      <c r="DA38" s="56"/>
      <c r="DB38" s="56"/>
      <c r="DC38" s="56"/>
      <c r="DD38" s="56"/>
      <c r="DE38" s="56"/>
      <c r="DF38" s="56"/>
      <c r="DG38" s="56"/>
      <c r="DH38" s="56"/>
      <c r="DI38" s="56"/>
      <c r="DJ38" s="56"/>
      <c r="DK38" s="56"/>
      <c r="DL38" s="56"/>
      <c r="DM38" s="56"/>
      <c r="DN38" s="56"/>
      <c r="DO38" s="56"/>
      <c r="DP38" s="56"/>
      <c r="DQ38" s="56"/>
      <c r="DR38" s="56"/>
      <c r="DS38" s="56"/>
      <c r="DT38" s="56"/>
      <c r="DU38" s="56"/>
      <c r="DV38" s="56"/>
      <c r="DW38" s="56"/>
      <c r="DX38" s="56"/>
      <c r="DY38" s="56"/>
      <c r="DZ38" s="56"/>
      <c r="EA38" s="56"/>
      <c r="EB38" s="56"/>
      <c r="EC38" s="56"/>
      <c r="ED38" s="56"/>
      <c r="EE38" s="56"/>
      <c r="EF38" s="56"/>
      <c r="EG38" s="56"/>
      <c r="EH38" s="56"/>
      <c r="EI38" s="56"/>
      <c r="EJ38" s="56"/>
      <c r="EK38" s="56"/>
      <c r="EL38" s="56"/>
      <c r="EM38" s="56"/>
      <c r="EN38" s="56"/>
      <c r="EO38" s="56"/>
      <c r="EP38" s="56"/>
      <c r="EQ38" s="56"/>
      <c r="ER38" s="56"/>
      <c r="ES38" s="56"/>
      <c r="ET38" s="56"/>
      <c r="EU38" s="56"/>
      <c r="EV38" s="56"/>
      <c r="EW38" s="56"/>
      <c r="EX38" s="56"/>
      <c r="EY38" s="56"/>
      <c r="EZ38" s="56"/>
      <c r="FA38" s="56"/>
      <c r="FB38" s="56"/>
      <c r="FC38" s="56"/>
      <c r="FD38" s="56"/>
      <c r="FE38" s="56"/>
      <c r="FF38" s="56"/>
      <c r="FG38" s="56"/>
      <c r="FH38" s="56"/>
      <c r="FI38" s="56"/>
      <c r="FJ38" s="56"/>
      <c r="FK38" s="56"/>
      <c r="FL38" s="56"/>
      <c r="FM38" s="56"/>
      <c r="FN38" s="56"/>
      <c r="FO38" s="56"/>
      <c r="FP38" s="56"/>
    </row>
    <row r="39" spans="1:172" s="92" customFormat="1" ht="13.5" customHeight="1" thickBot="1" x14ac:dyDescent="0.25">
      <c r="A39" s="66"/>
      <c r="B39" s="98" t="s">
        <v>85</v>
      </c>
      <c r="C39" s="81"/>
      <c r="D39" s="75"/>
      <c r="E39" s="75"/>
      <c r="F39" s="75"/>
      <c r="G39" s="7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row>
    <row r="40" spans="1:172" s="73" customFormat="1" ht="13.5" customHeight="1" x14ac:dyDescent="0.2">
      <c r="A40" s="97"/>
      <c r="B40" s="82" t="s">
        <v>158</v>
      </c>
      <c r="C40" s="212"/>
      <c r="D40" s="100"/>
      <c r="E40" s="209"/>
      <c r="G40" s="100"/>
      <c r="H40" s="100"/>
      <c r="J40" s="100"/>
      <c r="K40" s="100"/>
      <c r="L40" s="100"/>
      <c r="M40" s="100"/>
      <c r="N40" s="100"/>
      <c r="O40" s="100"/>
      <c r="P40" s="100"/>
      <c r="Q40" s="100"/>
      <c r="R40" s="100"/>
      <c r="S40" s="100"/>
      <c r="T40" s="100"/>
      <c r="U40" s="100"/>
      <c r="V40" s="209"/>
      <c r="W40" s="209"/>
      <c r="X40" s="209"/>
      <c r="Y40" s="209"/>
      <c r="Z40" s="209"/>
      <c r="AA40" s="209"/>
      <c r="AB40" s="209"/>
      <c r="AC40" s="209"/>
      <c r="AD40" s="100"/>
      <c r="AE40" s="100"/>
      <c r="AF40" s="100"/>
      <c r="AG40" s="100"/>
      <c r="AH40" s="100"/>
      <c r="AI40" s="100"/>
      <c r="AJ40" s="100"/>
      <c r="AK40" s="100"/>
      <c r="AL40" s="100"/>
      <c r="AM40" s="100"/>
      <c r="AN40" s="100"/>
      <c r="AO40" s="100"/>
      <c r="AP40" s="209"/>
      <c r="AQ40" s="209"/>
      <c r="AR40" s="209"/>
      <c r="AS40" s="209"/>
      <c r="AT40" s="209"/>
      <c r="AU40" s="209"/>
      <c r="AV40" s="209"/>
      <c r="AW40" s="209"/>
      <c r="AX40" s="209"/>
      <c r="AY40" s="209"/>
      <c r="AZ40" s="209"/>
      <c r="BA40" s="209"/>
      <c r="BB40" s="209"/>
      <c r="BC40" s="209"/>
      <c r="BD40" s="209"/>
      <c r="BE40" s="100"/>
      <c r="BF40" s="100"/>
      <c r="BG40" s="100"/>
      <c r="BH40" s="100"/>
      <c r="BI40" s="100"/>
      <c r="BJ40" s="100"/>
      <c r="BK40" s="100"/>
      <c r="BL40" s="100"/>
      <c r="BM40" s="100"/>
      <c r="BN40" s="100"/>
      <c r="BS40" s="100"/>
      <c r="BT40" s="100"/>
      <c r="BU40" s="209"/>
      <c r="BV40" s="100"/>
      <c r="CA40" s="100"/>
      <c r="CB40" s="100"/>
      <c r="CG40" s="209"/>
      <c r="CH40" s="209"/>
      <c r="CI40" s="209"/>
      <c r="CJ40" s="209"/>
      <c r="CK40" s="100"/>
      <c r="CL40" s="100"/>
      <c r="CM40" s="209"/>
      <c r="CN40" s="100"/>
      <c r="CP40" s="100"/>
      <c r="CQ40" s="100"/>
      <c r="CR40" s="100"/>
      <c r="CS40" s="100"/>
      <c r="CT40" s="100"/>
      <c r="CU40" s="100"/>
      <c r="CV40" s="100"/>
      <c r="CW40" s="100"/>
      <c r="CX40" s="100"/>
      <c r="CY40" s="100"/>
      <c r="CZ40" s="100"/>
      <c r="DB40" s="100"/>
      <c r="DC40" s="100"/>
      <c r="DD40" s="100"/>
      <c r="DE40" s="100"/>
      <c r="DF40" s="100"/>
      <c r="DG40" s="100"/>
      <c r="DH40" s="100"/>
      <c r="DI40" s="100"/>
      <c r="DJ40" s="100"/>
      <c r="DK40" s="100"/>
      <c r="DL40" s="100"/>
      <c r="DM40" s="100"/>
      <c r="DN40" s="100"/>
      <c r="DO40" s="100"/>
      <c r="DP40" s="100"/>
      <c r="DQ40" s="100"/>
      <c r="DR40" s="100"/>
      <c r="DS40" s="100"/>
      <c r="DT40" s="100"/>
      <c r="DU40" s="100"/>
      <c r="DV40" s="100"/>
      <c r="DX40" s="100"/>
      <c r="DY40" s="100"/>
      <c r="DZ40" s="100"/>
      <c r="EA40" s="100"/>
      <c r="EB40" s="100"/>
      <c r="EC40" s="100"/>
      <c r="ED40" s="100"/>
      <c r="EE40" s="100"/>
      <c r="EF40" s="100"/>
      <c r="EG40" s="100"/>
      <c r="EH40" s="100"/>
      <c r="EI40" s="100"/>
      <c r="EJ40" s="100"/>
      <c r="EK40" s="100"/>
      <c r="EL40" s="100"/>
      <c r="EM40" s="100"/>
      <c r="EN40" s="100"/>
      <c r="EO40" s="100"/>
      <c r="EP40" s="100"/>
      <c r="EQ40" s="100"/>
      <c r="ER40" s="100"/>
      <c r="ES40" s="100"/>
      <c r="ET40" s="100"/>
      <c r="EU40" s="100"/>
      <c r="EV40" s="100"/>
      <c r="EW40" s="100"/>
      <c r="EX40" s="100"/>
      <c r="EY40" s="100"/>
      <c r="EZ40" s="100"/>
      <c r="FA40" s="100"/>
      <c r="FB40" s="100"/>
      <c r="FC40" s="100"/>
      <c r="FD40" s="100"/>
      <c r="FE40" s="100"/>
      <c r="FF40" s="100"/>
      <c r="FG40" s="100"/>
      <c r="FH40" s="100"/>
      <c r="FI40" s="100"/>
      <c r="FJ40" s="100"/>
      <c r="FK40" s="100"/>
      <c r="FL40" s="100"/>
      <c r="FM40" s="100"/>
      <c r="FN40" s="100"/>
      <c r="FO40" s="100"/>
    </row>
    <row r="41" spans="1:172" s="56" customFormat="1" ht="13.5" customHeight="1" x14ac:dyDescent="0.2">
      <c r="A41" s="97"/>
      <c r="B41" s="83" t="s">
        <v>159</v>
      </c>
      <c r="C41" s="111"/>
      <c r="D41" s="91"/>
      <c r="E41" s="91"/>
      <c r="G41" s="91"/>
      <c r="H41" s="91"/>
      <c r="J41" s="91"/>
      <c r="K41" s="91"/>
      <c r="L41" s="91"/>
      <c r="M41" s="91"/>
      <c r="N41" s="91"/>
      <c r="O41" s="91"/>
      <c r="P41" s="91"/>
      <c r="Q41" s="91"/>
      <c r="R41" s="91"/>
      <c r="S41" s="91"/>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101"/>
      <c r="BP41" s="101"/>
      <c r="BQ41" s="101"/>
      <c r="BR41" s="101"/>
      <c r="BS41" s="91"/>
      <c r="BT41" s="91"/>
      <c r="BU41" s="91"/>
      <c r="BV41" s="91"/>
      <c r="BW41" s="101"/>
      <c r="BX41" s="101"/>
      <c r="BY41" s="101"/>
      <c r="BZ41" s="101"/>
      <c r="CA41" s="91"/>
      <c r="CB41" s="91"/>
      <c r="CC41" s="101"/>
      <c r="CG41" s="101"/>
      <c r="CH41" s="101"/>
      <c r="CI41" s="101"/>
      <c r="CJ41" s="101"/>
      <c r="CK41" s="91"/>
      <c r="CL41" s="91"/>
      <c r="CM41" s="91"/>
      <c r="CN41" s="91"/>
      <c r="CP41" s="91"/>
      <c r="CQ41" s="91"/>
      <c r="CR41" s="91"/>
      <c r="CS41" s="91"/>
      <c r="CT41" s="91"/>
      <c r="CU41" s="91"/>
      <c r="CV41" s="91"/>
      <c r="CW41" s="91"/>
      <c r="CX41" s="91"/>
      <c r="CY41" s="91"/>
      <c r="CZ41" s="91"/>
      <c r="DB41" s="91"/>
      <c r="DC41" s="91"/>
      <c r="DD41" s="91"/>
      <c r="DE41" s="91"/>
      <c r="DF41" s="91"/>
      <c r="DG41" s="91"/>
      <c r="DH41" s="91"/>
      <c r="DI41" s="91"/>
      <c r="DJ41" s="91"/>
      <c r="DK41" s="91"/>
      <c r="DL41" s="91"/>
      <c r="DM41" s="91"/>
      <c r="DN41" s="91"/>
      <c r="DO41" s="91"/>
      <c r="DP41" s="91"/>
      <c r="DQ41" s="91"/>
      <c r="DR41" s="91"/>
      <c r="DS41" s="91"/>
      <c r="DT41" s="91"/>
      <c r="DU41" s="91"/>
      <c r="DV41" s="91"/>
      <c r="DX41" s="91"/>
      <c r="DY41" s="91"/>
      <c r="DZ41" s="91"/>
      <c r="EA41" s="91"/>
      <c r="EB41" s="91"/>
      <c r="EC41" s="91"/>
      <c r="ED41" s="91"/>
      <c r="EE41" s="91"/>
      <c r="EF41" s="91"/>
      <c r="EG41" s="91"/>
      <c r="EH41" s="91"/>
      <c r="EI41" s="91"/>
      <c r="EJ41" s="91"/>
      <c r="EK41" s="91"/>
      <c r="EL41" s="91"/>
      <c r="EM41" s="91"/>
      <c r="EN41" s="91"/>
      <c r="EO41" s="91"/>
      <c r="EP41" s="91"/>
      <c r="EQ41" s="91"/>
      <c r="ER41" s="91"/>
      <c r="ES41" s="91"/>
      <c r="ET41" s="91"/>
      <c r="EU41" s="91"/>
      <c r="EV41" s="91"/>
      <c r="EW41" s="91"/>
      <c r="EX41" s="91"/>
      <c r="EY41" s="91"/>
      <c r="EZ41" s="91"/>
      <c r="FA41" s="91"/>
      <c r="FB41" s="91"/>
      <c r="FC41" s="91"/>
      <c r="FD41" s="91"/>
      <c r="FE41" s="91"/>
      <c r="FF41" s="91"/>
      <c r="FG41" s="91"/>
      <c r="FH41" s="91"/>
      <c r="FI41" s="91"/>
      <c r="FJ41" s="91"/>
      <c r="FK41" s="91"/>
      <c r="FL41" s="91"/>
      <c r="FM41" s="91"/>
      <c r="FN41" s="91"/>
      <c r="FO41" s="91"/>
    </row>
    <row r="42" spans="1:172" s="56" customFormat="1" ht="13.5" customHeight="1" x14ac:dyDescent="0.2">
      <c r="A42" s="97"/>
      <c r="B42" s="83" t="s">
        <v>160</v>
      </c>
      <c r="C42" s="111"/>
      <c r="D42" s="91"/>
      <c r="E42" s="91"/>
      <c r="G42" s="91"/>
      <c r="H42" s="91"/>
      <c r="J42" s="91"/>
      <c r="K42" s="91"/>
      <c r="L42" s="91"/>
      <c r="M42" s="91"/>
      <c r="N42" s="91"/>
      <c r="O42" s="91"/>
      <c r="P42" s="91"/>
      <c r="Q42" s="91"/>
      <c r="R42" s="91"/>
      <c r="S42" s="91"/>
      <c r="T42" s="91"/>
      <c r="U42" s="91"/>
      <c r="V42" s="91"/>
      <c r="W42" s="91"/>
      <c r="X42" s="91"/>
      <c r="Y42" s="91"/>
      <c r="Z42" s="91"/>
      <c r="AA42" s="91"/>
      <c r="AB42" s="91"/>
      <c r="AC42" s="91"/>
      <c r="AD42" s="91"/>
      <c r="AE42" s="91"/>
      <c r="AF42" s="91"/>
      <c r="AG42" s="91"/>
      <c r="AH42" s="91"/>
      <c r="AI42" s="91"/>
      <c r="AJ42" s="91"/>
      <c r="AK42" s="91"/>
      <c r="AL42" s="91"/>
      <c r="AM42" s="91"/>
      <c r="AN42" s="91"/>
      <c r="AO42" s="91"/>
      <c r="AP42" s="91"/>
      <c r="AQ42" s="91"/>
      <c r="AR42" s="91"/>
      <c r="AS42" s="91"/>
      <c r="AT42" s="91"/>
      <c r="AU42" s="91"/>
      <c r="AV42" s="91"/>
      <c r="AW42" s="91"/>
      <c r="AX42" s="91"/>
      <c r="AY42" s="91"/>
      <c r="AZ42" s="91"/>
      <c r="BA42" s="91"/>
      <c r="BB42" s="91"/>
      <c r="BC42" s="91"/>
      <c r="BD42" s="91"/>
      <c r="BE42" s="91"/>
      <c r="BF42" s="91"/>
      <c r="BG42" s="91"/>
      <c r="BH42" s="91"/>
      <c r="BI42" s="91"/>
      <c r="BJ42" s="91"/>
      <c r="BK42" s="91"/>
      <c r="BL42" s="91"/>
      <c r="BM42" s="91"/>
      <c r="BN42" s="91"/>
      <c r="BO42" s="101"/>
      <c r="BP42" s="101"/>
      <c r="BQ42" s="101"/>
      <c r="BR42" s="101"/>
      <c r="BS42" s="91"/>
      <c r="BT42" s="91"/>
      <c r="BU42" s="91"/>
      <c r="BV42" s="91"/>
      <c r="BW42" s="101"/>
      <c r="BX42" s="101"/>
      <c r="BY42" s="101"/>
      <c r="BZ42" s="101"/>
      <c r="CA42" s="91"/>
      <c r="CB42" s="91"/>
      <c r="CC42" s="101"/>
      <c r="CD42" s="101"/>
      <c r="CE42" s="101"/>
      <c r="CF42" s="101"/>
      <c r="CG42" s="91"/>
      <c r="CH42" s="91"/>
      <c r="CI42" s="91"/>
      <c r="CJ42" s="91"/>
      <c r="CK42" s="91"/>
      <c r="CL42" s="91"/>
      <c r="CM42" s="91"/>
      <c r="CN42" s="91"/>
      <c r="CP42" s="91"/>
      <c r="CQ42" s="91"/>
      <c r="CR42" s="91"/>
      <c r="CS42" s="91"/>
      <c r="CT42" s="91"/>
      <c r="CU42" s="91"/>
      <c r="CV42" s="91"/>
      <c r="CW42" s="91"/>
      <c r="CX42" s="91"/>
      <c r="CY42" s="91"/>
      <c r="CZ42" s="91"/>
      <c r="DB42" s="91"/>
      <c r="DC42" s="91"/>
      <c r="DD42" s="91"/>
      <c r="DE42" s="91"/>
      <c r="DF42" s="91"/>
      <c r="DG42" s="91"/>
      <c r="DH42" s="91"/>
      <c r="DI42" s="91"/>
      <c r="DJ42" s="91"/>
      <c r="DK42" s="91"/>
      <c r="DL42" s="91"/>
      <c r="DM42" s="91"/>
      <c r="DN42" s="91"/>
      <c r="DO42" s="91"/>
      <c r="DP42" s="91"/>
      <c r="DQ42" s="91"/>
      <c r="DR42" s="91"/>
      <c r="DS42" s="91"/>
      <c r="DT42" s="91"/>
      <c r="DU42" s="91"/>
      <c r="DV42" s="91"/>
      <c r="DX42" s="91"/>
      <c r="DY42" s="91"/>
      <c r="DZ42" s="91"/>
      <c r="EA42" s="91"/>
      <c r="EB42" s="91"/>
      <c r="EC42" s="91"/>
      <c r="ED42" s="91"/>
      <c r="EE42" s="91"/>
      <c r="EF42" s="91"/>
      <c r="EG42" s="91"/>
      <c r="EH42" s="91"/>
      <c r="EI42" s="91"/>
      <c r="EJ42" s="91"/>
      <c r="EK42" s="91"/>
      <c r="EL42" s="91"/>
      <c r="EM42" s="91"/>
      <c r="EN42" s="91"/>
      <c r="EO42" s="91"/>
      <c r="EP42" s="91"/>
      <c r="EQ42" s="91"/>
      <c r="ER42" s="91"/>
      <c r="ES42" s="91"/>
      <c r="ET42" s="91"/>
      <c r="EU42" s="91"/>
      <c r="EV42" s="91"/>
      <c r="EW42" s="91"/>
      <c r="EX42" s="91"/>
      <c r="EY42" s="91"/>
      <c r="EZ42" s="91"/>
      <c r="FA42" s="91"/>
      <c r="FB42" s="91"/>
      <c r="FC42" s="91"/>
      <c r="FD42" s="91"/>
      <c r="FE42" s="91"/>
      <c r="FF42" s="91"/>
      <c r="FG42" s="91"/>
      <c r="FH42" s="91"/>
      <c r="FI42" s="91"/>
      <c r="FJ42" s="91"/>
      <c r="FK42" s="91"/>
      <c r="FL42" s="91"/>
      <c r="FM42" s="91"/>
      <c r="FN42" s="91"/>
      <c r="FO42" s="91"/>
    </row>
    <row r="43" spans="1:172" s="56" customFormat="1" ht="13.5" customHeight="1" x14ac:dyDescent="0.2">
      <c r="A43" s="97"/>
      <c r="B43" s="83" t="s">
        <v>161</v>
      </c>
      <c r="C43" s="80"/>
      <c r="BP43" s="101"/>
      <c r="BQ43" s="101"/>
      <c r="BR43" s="101"/>
      <c r="BW43" s="101"/>
      <c r="BX43" s="101"/>
      <c r="BY43" s="101"/>
      <c r="BZ43" s="101"/>
      <c r="CC43" s="101"/>
      <c r="CD43" s="101"/>
      <c r="CE43" s="101"/>
      <c r="CF43" s="101"/>
      <c r="CT43" s="101"/>
      <c r="CW43" s="101"/>
      <c r="EH43" s="101"/>
      <c r="ES43" s="101"/>
      <c r="EU43" s="101"/>
      <c r="FI43" s="101"/>
    </row>
    <row r="44" spans="1:172" s="56" customFormat="1" ht="13.5" customHeight="1" x14ac:dyDescent="0.2">
      <c r="A44" s="97"/>
      <c r="B44" s="83" t="s">
        <v>162</v>
      </c>
      <c r="C44" s="80"/>
      <c r="BP44" s="101"/>
      <c r="BQ44" s="101"/>
      <c r="BR44" s="101"/>
      <c r="BW44" s="101"/>
      <c r="BX44" s="101"/>
      <c r="BY44" s="101"/>
      <c r="BZ44" s="101"/>
      <c r="CC44" s="101"/>
      <c r="CD44" s="101"/>
      <c r="CE44" s="101"/>
      <c r="CF44" s="101"/>
      <c r="CT44" s="101"/>
      <c r="CW44" s="101"/>
      <c r="EH44" s="101"/>
      <c r="ES44" s="101"/>
      <c r="EU44" s="101"/>
      <c r="FI44" s="101"/>
    </row>
    <row r="45" spans="1:172" s="56" customFormat="1" ht="13.5" customHeight="1" x14ac:dyDescent="0.2">
      <c r="A45" s="97"/>
      <c r="B45" s="83" t="s">
        <v>196</v>
      </c>
      <c r="C45" s="80"/>
      <c r="BP45" s="101"/>
      <c r="BQ45" s="101"/>
      <c r="BR45" s="101"/>
      <c r="BW45" s="101"/>
      <c r="BX45" s="101"/>
      <c r="BY45" s="101"/>
      <c r="BZ45" s="101"/>
      <c r="CC45" s="101"/>
      <c r="CD45" s="101"/>
      <c r="CE45" s="101"/>
      <c r="CF45" s="101"/>
      <c r="CT45" s="101"/>
      <c r="CW45" s="101"/>
      <c r="EH45" s="101"/>
      <c r="ES45" s="101"/>
      <c r="EU45" s="101"/>
      <c r="FI45" s="101"/>
    </row>
    <row r="46" spans="1:172" s="56" customFormat="1" ht="13.5" customHeight="1" x14ac:dyDescent="0.2">
      <c r="A46" s="97"/>
      <c r="B46" s="83" t="s">
        <v>197</v>
      </c>
      <c r="C46" s="111"/>
      <c r="D46" s="91"/>
      <c r="E46" s="91"/>
      <c r="G46" s="91"/>
      <c r="H46" s="91"/>
      <c r="J46" s="91"/>
      <c r="K46" s="91"/>
      <c r="L46" s="91"/>
      <c r="M46" s="91"/>
      <c r="N46" s="91"/>
      <c r="O46" s="91"/>
      <c r="P46" s="91"/>
      <c r="Q46" s="91"/>
      <c r="R46" s="91"/>
      <c r="S46" s="91"/>
      <c r="T46" s="91"/>
      <c r="U46" s="91"/>
      <c r="V46" s="91"/>
      <c r="W46" s="91"/>
      <c r="X46" s="91"/>
      <c r="Y46" s="91"/>
      <c r="Z46" s="91"/>
      <c r="AA46" s="91"/>
      <c r="AB46" s="91"/>
      <c r="AC46" s="91"/>
      <c r="AD46" s="91"/>
      <c r="AE46" s="91"/>
      <c r="AF46" s="91"/>
      <c r="AG46" s="91"/>
      <c r="AH46" s="91"/>
      <c r="AI46" s="91"/>
      <c r="AJ46" s="91"/>
      <c r="AK46" s="91"/>
      <c r="AL46" s="91"/>
      <c r="AM46" s="91"/>
      <c r="AN46" s="91"/>
      <c r="AO46" s="91"/>
      <c r="AP46" s="91"/>
      <c r="AQ46" s="91"/>
      <c r="AR46" s="91"/>
      <c r="AS46" s="91"/>
      <c r="AT46" s="91"/>
      <c r="AU46" s="91"/>
      <c r="AV46" s="91"/>
      <c r="AW46" s="91"/>
      <c r="AX46" s="91"/>
      <c r="AY46" s="91"/>
      <c r="AZ46" s="91"/>
      <c r="BA46" s="91"/>
      <c r="BB46" s="91"/>
      <c r="BC46" s="91"/>
      <c r="BD46" s="91"/>
      <c r="BE46" s="91"/>
      <c r="BF46" s="91"/>
      <c r="BG46" s="91"/>
      <c r="BH46" s="91"/>
      <c r="BI46" s="91"/>
      <c r="BJ46" s="91"/>
      <c r="BK46" s="91"/>
      <c r="BL46" s="91"/>
      <c r="BM46" s="91"/>
      <c r="BN46" s="91"/>
      <c r="BO46" s="101"/>
      <c r="BP46" s="101"/>
      <c r="BQ46" s="101"/>
      <c r="BR46" s="101"/>
      <c r="BS46" s="91"/>
      <c r="BT46" s="91"/>
      <c r="BU46" s="91"/>
      <c r="BV46" s="91"/>
      <c r="BW46" s="101"/>
      <c r="BX46" s="101"/>
      <c r="BY46" s="101"/>
      <c r="BZ46" s="101"/>
      <c r="CA46" s="91"/>
      <c r="CB46" s="91"/>
      <c r="CC46" s="101"/>
      <c r="CD46" s="101"/>
      <c r="CE46" s="101"/>
      <c r="CF46" s="101"/>
      <c r="CG46" s="101"/>
      <c r="CH46" s="101"/>
      <c r="CI46" s="101"/>
      <c r="CJ46" s="101"/>
      <c r="CK46" s="91"/>
      <c r="CL46" s="91"/>
      <c r="CM46" s="91"/>
      <c r="CN46" s="91"/>
      <c r="CP46" s="91"/>
      <c r="CQ46" s="91"/>
      <c r="CR46" s="91"/>
      <c r="CS46" s="91"/>
      <c r="CT46" s="91"/>
      <c r="CU46" s="91"/>
      <c r="CV46" s="91"/>
      <c r="CW46" s="91"/>
      <c r="CX46" s="91"/>
      <c r="CY46" s="91"/>
      <c r="CZ46" s="91"/>
      <c r="DB46" s="91"/>
      <c r="DC46" s="91"/>
      <c r="DD46" s="91"/>
      <c r="DE46" s="91"/>
      <c r="DF46" s="91"/>
      <c r="DG46" s="91"/>
      <c r="DH46" s="91"/>
      <c r="DI46" s="91"/>
      <c r="DJ46" s="91"/>
      <c r="DK46" s="91"/>
      <c r="DL46" s="91"/>
      <c r="DM46" s="91"/>
      <c r="DN46" s="91"/>
      <c r="DO46" s="91"/>
      <c r="DP46" s="91"/>
      <c r="DQ46" s="91"/>
      <c r="DR46" s="91"/>
      <c r="DS46" s="91"/>
      <c r="DT46" s="91"/>
      <c r="DU46" s="91"/>
      <c r="DV46" s="91"/>
      <c r="DX46" s="91"/>
      <c r="DY46" s="91"/>
      <c r="DZ46" s="91"/>
      <c r="EA46" s="91"/>
      <c r="EB46" s="91"/>
      <c r="EC46" s="91"/>
      <c r="ED46" s="91"/>
      <c r="EE46" s="91"/>
      <c r="EF46" s="91"/>
      <c r="EG46" s="91"/>
      <c r="EH46" s="91"/>
      <c r="EI46" s="91"/>
      <c r="EJ46" s="91"/>
      <c r="EK46" s="91"/>
      <c r="EL46" s="91"/>
      <c r="EM46" s="91"/>
      <c r="EN46" s="91"/>
      <c r="EO46" s="91"/>
      <c r="EP46" s="91"/>
      <c r="EQ46" s="91"/>
      <c r="ER46" s="91"/>
      <c r="ES46" s="91"/>
      <c r="ET46" s="91"/>
      <c r="EU46" s="91"/>
      <c r="EV46" s="91"/>
      <c r="EW46" s="91"/>
      <c r="EX46" s="91"/>
      <c r="EY46" s="91"/>
      <c r="EZ46" s="91"/>
      <c r="FA46" s="91"/>
      <c r="FB46" s="91"/>
      <c r="FC46" s="91"/>
      <c r="FD46" s="91"/>
      <c r="FE46" s="91"/>
      <c r="FF46" s="91"/>
      <c r="FG46" s="91"/>
      <c r="FH46" s="91"/>
      <c r="FI46" s="91"/>
      <c r="FJ46" s="91"/>
      <c r="FK46" s="91"/>
      <c r="FL46" s="91"/>
      <c r="FM46" s="91"/>
      <c r="FN46" s="91"/>
      <c r="FO46" s="91"/>
    </row>
    <row r="47" spans="1:172" s="91" customFormat="1" ht="13.5" customHeight="1" x14ac:dyDescent="0.2">
      <c r="A47" s="66"/>
      <c r="B47" s="83" t="s">
        <v>86</v>
      </c>
      <c r="C47" s="80"/>
      <c r="D47" s="56"/>
      <c r="E47" s="56"/>
      <c r="F47" s="56"/>
      <c r="G47" s="56"/>
      <c r="H47" s="56"/>
      <c r="I47" s="56"/>
      <c r="J47" s="56"/>
      <c r="K47" s="56"/>
      <c r="L47" s="56"/>
      <c r="M47" s="56"/>
      <c r="N47" s="56"/>
      <c r="O47" s="56"/>
      <c r="P47" s="56"/>
      <c r="Q47" s="56"/>
      <c r="R47" s="56"/>
      <c r="S47" s="56"/>
      <c r="T47" s="56"/>
      <c r="U47" s="56"/>
      <c r="V47" s="56"/>
      <c r="W47" s="56"/>
      <c r="X47" s="56"/>
      <c r="Y47" s="56"/>
      <c r="Z47" s="56"/>
      <c r="AA47" s="56"/>
      <c r="AB47" s="56"/>
      <c r="AC47" s="56"/>
      <c r="AD47" s="56"/>
      <c r="AE47" s="56"/>
      <c r="AF47" s="56"/>
      <c r="AG47" s="56"/>
      <c r="AH47" s="56"/>
      <c r="AI47" s="56"/>
      <c r="AJ47" s="56"/>
      <c r="AK47" s="56"/>
      <c r="AL47" s="56"/>
      <c r="AM47" s="56"/>
      <c r="AN47" s="56"/>
      <c r="AO47" s="56"/>
      <c r="AP47" s="56"/>
      <c r="AQ47" s="56"/>
      <c r="AR47" s="56"/>
      <c r="AS47" s="56"/>
      <c r="AT47" s="56"/>
      <c r="AU47" s="56"/>
      <c r="AV47" s="56"/>
      <c r="AW47" s="56"/>
      <c r="AX47" s="56"/>
      <c r="AY47" s="56"/>
      <c r="AZ47" s="56"/>
      <c r="BA47" s="56"/>
      <c r="BB47" s="56"/>
      <c r="BC47" s="56"/>
      <c r="BD47" s="56"/>
      <c r="BE47" s="56"/>
      <c r="BF47" s="56"/>
      <c r="BG47" s="56"/>
      <c r="BH47" s="56"/>
      <c r="BI47" s="56"/>
      <c r="BJ47" s="56"/>
      <c r="BK47" s="56"/>
      <c r="BL47" s="56"/>
      <c r="BM47" s="56"/>
      <c r="BN47" s="56"/>
      <c r="BO47" s="56"/>
      <c r="BP47" s="56"/>
      <c r="BQ47" s="56"/>
      <c r="BR47" s="56"/>
      <c r="BS47" s="56"/>
      <c r="BT47" s="56"/>
      <c r="BU47" s="56"/>
      <c r="BV47" s="56"/>
      <c r="BW47" s="56"/>
      <c r="BX47" s="56"/>
      <c r="BY47" s="56"/>
      <c r="BZ47" s="56"/>
      <c r="CA47" s="56"/>
      <c r="CB47" s="56"/>
      <c r="CC47" s="56"/>
      <c r="CD47" s="56"/>
      <c r="CE47" s="56"/>
      <c r="CF47" s="56"/>
      <c r="CG47" s="56"/>
      <c r="CH47" s="56"/>
      <c r="CI47" s="56"/>
      <c r="CJ47" s="56"/>
      <c r="CK47" s="56"/>
      <c r="CL47" s="56"/>
      <c r="CM47" s="56"/>
      <c r="CN47" s="56"/>
      <c r="CO47" s="56"/>
      <c r="CP47" s="56"/>
      <c r="CQ47" s="56"/>
      <c r="CR47" s="56"/>
      <c r="CS47" s="56"/>
      <c r="CT47" s="56"/>
      <c r="CU47" s="56"/>
      <c r="CV47" s="56"/>
      <c r="CW47" s="56"/>
      <c r="CX47" s="56"/>
      <c r="CY47" s="56"/>
      <c r="CZ47" s="56"/>
      <c r="DA47" s="56"/>
      <c r="DB47" s="56"/>
      <c r="DC47" s="56"/>
      <c r="DD47" s="56"/>
      <c r="DE47" s="56"/>
      <c r="DF47" s="56"/>
      <c r="DG47" s="56"/>
      <c r="DH47" s="56"/>
      <c r="DI47" s="56"/>
      <c r="DJ47" s="56"/>
      <c r="DK47" s="56"/>
      <c r="DL47" s="56"/>
      <c r="DM47" s="56"/>
      <c r="DN47" s="56"/>
      <c r="DO47" s="56"/>
      <c r="DP47" s="56"/>
      <c r="DQ47" s="56"/>
      <c r="DR47" s="56"/>
      <c r="DS47" s="56"/>
      <c r="DT47" s="56"/>
      <c r="DU47" s="56"/>
      <c r="DV47" s="56"/>
      <c r="DW47" s="56"/>
      <c r="DX47" s="56"/>
      <c r="DY47" s="56"/>
      <c r="DZ47" s="56"/>
      <c r="EA47" s="56"/>
      <c r="EB47" s="56"/>
      <c r="EC47" s="56"/>
      <c r="ED47" s="56"/>
      <c r="EE47" s="56"/>
      <c r="EF47" s="56"/>
      <c r="EG47" s="56"/>
      <c r="EH47" s="56"/>
      <c r="EI47" s="56"/>
      <c r="EJ47" s="56"/>
      <c r="EK47" s="56"/>
      <c r="EL47" s="56"/>
      <c r="EM47" s="56"/>
      <c r="EN47" s="56"/>
      <c r="EO47" s="56"/>
      <c r="EP47" s="56"/>
      <c r="EQ47" s="56"/>
      <c r="ER47" s="56"/>
      <c r="ES47" s="56"/>
      <c r="ET47" s="56"/>
      <c r="EU47" s="56"/>
      <c r="EV47" s="56"/>
      <c r="EW47" s="56"/>
      <c r="EX47" s="56"/>
      <c r="EY47" s="56"/>
      <c r="EZ47" s="56"/>
      <c r="FA47" s="56"/>
      <c r="FB47" s="56"/>
      <c r="FC47" s="56"/>
      <c r="FD47" s="56"/>
      <c r="FE47" s="56"/>
      <c r="FF47" s="56"/>
      <c r="FG47" s="56"/>
      <c r="FH47" s="56"/>
      <c r="FI47" s="56"/>
      <c r="FJ47" s="56"/>
      <c r="FK47" s="56"/>
      <c r="FL47" s="56"/>
      <c r="FM47" s="56"/>
      <c r="FN47" s="56"/>
      <c r="FO47" s="56"/>
      <c r="FP47" s="56"/>
    </row>
    <row r="48" spans="1:172" s="91" customFormat="1" ht="13.5" customHeight="1" x14ac:dyDescent="0.2">
      <c r="A48" s="66"/>
      <c r="B48" s="83" t="s">
        <v>87</v>
      </c>
      <c r="C48" s="80"/>
      <c r="D48" s="56"/>
      <c r="E48" s="56"/>
      <c r="F48" s="56"/>
      <c r="G48" s="56"/>
      <c r="H48" s="56"/>
      <c r="I48" s="56"/>
      <c r="J48" s="56"/>
      <c r="K48" s="56"/>
      <c r="L48" s="56"/>
      <c r="M48" s="56"/>
      <c r="N48" s="56"/>
      <c r="O48" s="56"/>
      <c r="P48" s="56"/>
      <c r="Q48" s="56"/>
      <c r="R48" s="56"/>
      <c r="S48" s="56"/>
      <c r="T48" s="56"/>
      <c r="U48" s="56"/>
      <c r="V48" s="56"/>
      <c r="W48" s="56"/>
      <c r="X48" s="56"/>
      <c r="Y48" s="56"/>
      <c r="Z48" s="56"/>
      <c r="AA48" s="56"/>
      <c r="AB48" s="56"/>
      <c r="AC48" s="56"/>
      <c r="AD48" s="56"/>
      <c r="AE48" s="56"/>
      <c r="AF48" s="56"/>
      <c r="AG48" s="56"/>
      <c r="AH48" s="56"/>
      <c r="AI48" s="56"/>
      <c r="AJ48" s="56"/>
      <c r="AK48" s="56"/>
      <c r="AL48" s="56"/>
      <c r="AM48" s="56"/>
      <c r="AN48" s="56"/>
      <c r="AO48" s="56"/>
      <c r="AP48" s="56"/>
      <c r="AQ48" s="56"/>
      <c r="AR48" s="56"/>
      <c r="AS48" s="56"/>
      <c r="AT48" s="56"/>
      <c r="AU48" s="56"/>
      <c r="AV48" s="56"/>
      <c r="AW48" s="56"/>
      <c r="AX48" s="56"/>
      <c r="AY48" s="56"/>
      <c r="AZ48" s="56"/>
      <c r="BA48" s="56"/>
      <c r="BB48" s="56"/>
      <c r="BC48" s="56"/>
      <c r="BD48" s="56"/>
      <c r="BE48" s="56"/>
      <c r="BF48" s="56"/>
      <c r="BG48" s="56"/>
      <c r="BH48" s="56"/>
      <c r="BI48" s="56"/>
      <c r="BJ48" s="56"/>
      <c r="BK48" s="56"/>
      <c r="BL48" s="56"/>
      <c r="BM48" s="56"/>
      <c r="BN48" s="56"/>
      <c r="BO48" s="56"/>
      <c r="BP48" s="56"/>
      <c r="BQ48" s="56"/>
      <c r="BR48" s="56"/>
      <c r="BS48" s="56"/>
      <c r="BT48" s="56"/>
      <c r="BU48" s="56"/>
      <c r="BV48" s="56"/>
      <c r="BW48" s="56"/>
      <c r="BX48" s="56"/>
      <c r="BY48" s="56"/>
      <c r="BZ48" s="56"/>
      <c r="CA48" s="56"/>
      <c r="CB48" s="56"/>
      <c r="CC48" s="56"/>
      <c r="CD48" s="56"/>
      <c r="CE48" s="56"/>
      <c r="CF48" s="56"/>
      <c r="CG48" s="56"/>
      <c r="CH48" s="56"/>
      <c r="CI48" s="56"/>
      <c r="CJ48" s="56"/>
      <c r="CK48" s="56"/>
      <c r="CL48" s="56"/>
      <c r="CM48" s="56"/>
      <c r="CN48" s="56"/>
      <c r="CO48" s="56"/>
      <c r="CP48" s="56"/>
      <c r="CQ48" s="56"/>
      <c r="CR48" s="56"/>
      <c r="CS48" s="56"/>
      <c r="CT48" s="56"/>
      <c r="CU48" s="56"/>
      <c r="CV48" s="56"/>
      <c r="CW48" s="56"/>
      <c r="CX48" s="56"/>
      <c r="CY48" s="56"/>
      <c r="CZ48" s="56"/>
      <c r="DA48" s="56"/>
      <c r="DB48" s="56"/>
      <c r="DC48" s="56"/>
      <c r="DD48" s="56"/>
      <c r="DE48" s="56"/>
      <c r="DF48" s="56"/>
      <c r="DG48" s="56"/>
      <c r="DH48" s="56"/>
      <c r="DI48" s="56"/>
      <c r="DJ48" s="56"/>
      <c r="DK48" s="56"/>
      <c r="DL48" s="56"/>
      <c r="DM48" s="56"/>
      <c r="DN48" s="56"/>
      <c r="DO48" s="56"/>
      <c r="DP48" s="56"/>
      <c r="DQ48" s="56"/>
      <c r="DR48" s="56"/>
      <c r="DS48" s="56"/>
      <c r="DT48" s="56"/>
      <c r="DU48" s="56"/>
      <c r="DV48" s="56"/>
      <c r="DW48" s="56"/>
      <c r="DX48" s="56"/>
      <c r="DY48" s="56"/>
      <c r="DZ48" s="56"/>
      <c r="EA48" s="56"/>
      <c r="EB48" s="56"/>
      <c r="EC48" s="56"/>
      <c r="ED48" s="56"/>
      <c r="EE48" s="56"/>
      <c r="EF48" s="56"/>
      <c r="EG48" s="56"/>
      <c r="EH48" s="56"/>
      <c r="EI48" s="56"/>
      <c r="EJ48" s="56"/>
      <c r="EK48" s="56"/>
      <c r="EL48" s="56"/>
      <c r="EM48" s="56"/>
      <c r="EN48" s="56"/>
      <c r="EO48" s="56"/>
      <c r="EP48" s="56"/>
      <c r="EQ48" s="56"/>
      <c r="ER48" s="56"/>
      <c r="ES48" s="56"/>
      <c r="ET48" s="56"/>
      <c r="EU48" s="56"/>
      <c r="EV48" s="56"/>
      <c r="EW48" s="56"/>
      <c r="EX48" s="56"/>
      <c r="EY48" s="56"/>
      <c r="EZ48" s="56"/>
      <c r="FA48" s="56"/>
      <c r="FB48" s="56"/>
      <c r="FC48" s="56"/>
      <c r="FD48" s="56"/>
      <c r="FE48" s="56"/>
      <c r="FF48" s="56"/>
      <c r="FG48" s="56"/>
      <c r="FH48" s="56"/>
      <c r="FI48" s="56"/>
      <c r="FJ48" s="56"/>
      <c r="FK48" s="56"/>
      <c r="FL48" s="56"/>
      <c r="FM48" s="56"/>
      <c r="FN48" s="56"/>
      <c r="FO48" s="56"/>
      <c r="FP48" s="56"/>
    </row>
    <row r="49" spans="1:256" s="91" customFormat="1" ht="13.5" customHeight="1" x14ac:dyDescent="0.2">
      <c r="A49" s="66"/>
      <c r="B49" s="83" t="s">
        <v>88</v>
      </c>
      <c r="C49" s="80"/>
      <c r="D49" s="56"/>
      <c r="E49" s="56"/>
      <c r="F49" s="56"/>
      <c r="G49" s="56"/>
      <c r="H49" s="56"/>
      <c r="I49" s="56"/>
      <c r="J49" s="56"/>
      <c r="K49" s="56"/>
      <c r="L49" s="56"/>
      <c r="M49" s="56"/>
      <c r="N49" s="56"/>
      <c r="O49" s="56"/>
      <c r="P49" s="56"/>
      <c r="Q49" s="56"/>
      <c r="R49" s="56"/>
      <c r="S49" s="56"/>
      <c r="T49" s="56"/>
      <c r="U49" s="56"/>
      <c r="V49" s="56"/>
      <c r="W49" s="56"/>
      <c r="X49" s="56"/>
      <c r="Y49" s="56"/>
      <c r="Z49" s="56"/>
      <c r="AA49" s="56"/>
      <c r="AB49" s="56"/>
      <c r="AC49" s="56"/>
      <c r="AD49" s="56"/>
      <c r="AE49" s="56"/>
      <c r="AF49" s="56"/>
      <c r="AG49" s="56"/>
      <c r="AH49" s="56"/>
      <c r="AI49" s="56"/>
      <c r="AJ49" s="56"/>
      <c r="AK49" s="56"/>
      <c r="AL49" s="56"/>
      <c r="AM49" s="56"/>
      <c r="AN49" s="56"/>
      <c r="AO49" s="56"/>
      <c r="AP49" s="56"/>
      <c r="AQ49" s="56"/>
      <c r="AR49" s="56"/>
      <c r="AS49" s="56"/>
      <c r="AT49" s="56"/>
      <c r="AU49" s="56"/>
      <c r="AV49" s="56"/>
      <c r="AW49" s="56"/>
      <c r="AX49" s="56"/>
      <c r="AY49" s="56"/>
      <c r="AZ49" s="56"/>
      <c r="BA49" s="56"/>
      <c r="BB49" s="56"/>
      <c r="BC49" s="56"/>
      <c r="BD49" s="56"/>
      <c r="BE49" s="56"/>
      <c r="BF49" s="56"/>
      <c r="BG49" s="56"/>
      <c r="BH49" s="56"/>
      <c r="BI49" s="56"/>
      <c r="BJ49" s="56"/>
      <c r="BK49" s="56"/>
      <c r="BL49" s="56"/>
      <c r="BM49" s="56"/>
      <c r="BN49" s="56"/>
      <c r="BO49" s="56"/>
      <c r="BP49" s="56"/>
      <c r="BQ49" s="56"/>
      <c r="BR49" s="56"/>
      <c r="BS49" s="56"/>
      <c r="BT49" s="56"/>
      <c r="BU49" s="56"/>
      <c r="BV49" s="56"/>
      <c r="BW49" s="56"/>
      <c r="BX49" s="56"/>
      <c r="BY49" s="56"/>
      <c r="BZ49" s="56"/>
      <c r="CA49" s="56"/>
      <c r="CB49" s="56"/>
      <c r="CC49" s="56"/>
      <c r="CD49" s="56"/>
      <c r="CE49" s="56"/>
      <c r="CF49" s="56"/>
      <c r="CG49" s="56"/>
      <c r="CH49" s="56"/>
      <c r="CI49" s="56"/>
      <c r="CJ49" s="56"/>
      <c r="CK49" s="56"/>
      <c r="CL49" s="56"/>
      <c r="CM49" s="56"/>
      <c r="CN49" s="56"/>
      <c r="CO49" s="56"/>
      <c r="CP49" s="56"/>
      <c r="CQ49" s="56"/>
      <c r="CR49" s="56"/>
      <c r="CS49" s="56"/>
      <c r="CT49" s="56"/>
      <c r="CU49" s="56"/>
      <c r="CV49" s="56"/>
      <c r="CW49" s="56"/>
      <c r="CX49" s="56"/>
      <c r="CY49" s="56"/>
      <c r="CZ49" s="56"/>
      <c r="DA49" s="56"/>
      <c r="DB49" s="56"/>
      <c r="DC49" s="56"/>
      <c r="DD49" s="56"/>
      <c r="DE49" s="56"/>
      <c r="DF49" s="56"/>
      <c r="DG49" s="56"/>
      <c r="DH49" s="56"/>
      <c r="DI49" s="56"/>
      <c r="DJ49" s="56"/>
      <c r="DK49" s="56"/>
      <c r="DL49" s="56"/>
      <c r="DM49" s="56"/>
      <c r="DN49" s="56"/>
      <c r="DO49" s="56"/>
      <c r="DP49" s="56"/>
      <c r="DQ49" s="56"/>
      <c r="DR49" s="56"/>
      <c r="DS49" s="56"/>
      <c r="DT49" s="56"/>
      <c r="DU49" s="56"/>
      <c r="DV49" s="56"/>
      <c r="DW49" s="56"/>
      <c r="DX49" s="56"/>
      <c r="DY49" s="56"/>
      <c r="DZ49" s="56"/>
      <c r="EA49" s="56"/>
      <c r="EB49" s="56"/>
      <c r="EC49" s="56"/>
      <c r="ED49" s="56"/>
      <c r="EE49" s="56"/>
      <c r="EF49" s="56"/>
      <c r="EG49" s="56"/>
      <c r="EH49" s="56"/>
      <c r="EI49" s="56"/>
      <c r="EJ49" s="56"/>
      <c r="EK49" s="56"/>
      <c r="EL49" s="56"/>
      <c r="EM49" s="56"/>
      <c r="EN49" s="56"/>
      <c r="EO49" s="56"/>
      <c r="EP49" s="56"/>
      <c r="EQ49" s="56"/>
      <c r="ER49" s="56"/>
      <c r="ES49" s="56"/>
      <c r="ET49" s="56"/>
      <c r="EU49" s="56"/>
      <c r="EV49" s="56"/>
      <c r="EW49" s="56"/>
      <c r="EX49" s="56"/>
      <c r="EY49" s="56"/>
      <c r="EZ49" s="56"/>
      <c r="FA49" s="56"/>
      <c r="FB49" s="56"/>
      <c r="FC49" s="56"/>
      <c r="FD49" s="56"/>
      <c r="FE49" s="56"/>
      <c r="FF49" s="56"/>
      <c r="FG49" s="56"/>
      <c r="FH49" s="56"/>
      <c r="FI49" s="56"/>
      <c r="FJ49" s="56"/>
      <c r="FK49" s="56"/>
      <c r="FL49" s="56"/>
      <c r="FM49" s="56"/>
      <c r="FN49" s="56"/>
      <c r="FO49" s="56"/>
      <c r="FP49" s="56"/>
    </row>
    <row r="50" spans="1:256" s="56" customFormat="1" ht="13.5" customHeight="1" x14ac:dyDescent="0.2">
      <c r="A50" s="66"/>
      <c r="B50" s="83" t="s">
        <v>110</v>
      </c>
      <c r="C50" s="80"/>
      <c r="ER50" s="101"/>
      <c r="FA50" s="91"/>
    </row>
    <row r="51" spans="1:256" s="78" customFormat="1" ht="13.5" customHeight="1" x14ac:dyDescent="0.2">
      <c r="A51" s="66"/>
      <c r="B51" s="83" t="s">
        <v>111</v>
      </c>
      <c r="C51" s="274"/>
      <c r="ER51" s="102"/>
      <c r="FA51" s="275"/>
    </row>
    <row r="52" spans="1:256" s="78" customFormat="1" ht="13.5" customHeight="1" x14ac:dyDescent="0.2">
      <c r="A52" s="66"/>
      <c r="B52" s="83" t="s">
        <v>194</v>
      </c>
      <c r="C52" s="274"/>
      <c r="ER52" s="102"/>
      <c r="FA52" s="275"/>
    </row>
    <row r="53" spans="1:256" s="92" customFormat="1" ht="13.5" customHeight="1" thickBot="1" x14ac:dyDescent="0.25">
      <c r="A53" s="66"/>
      <c r="B53" s="84" t="s">
        <v>195</v>
      </c>
      <c r="C53" s="81"/>
      <c r="D53" s="75"/>
      <c r="E53" s="75"/>
      <c r="F53" s="75"/>
      <c r="G53" s="75"/>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row>
    <row r="54" spans="1:256" s="58" customFormat="1" ht="13.5" customHeight="1" x14ac:dyDescent="0.2">
      <c r="A54" s="66"/>
      <c r="B54" s="82" t="s">
        <v>89</v>
      </c>
      <c r="C54" s="85"/>
      <c r="D54" s="86"/>
      <c r="E54" s="86"/>
      <c r="F54" s="86"/>
      <c r="G54" s="86"/>
      <c r="H54" s="86"/>
      <c r="I54" s="86"/>
      <c r="J54" s="86"/>
      <c r="K54" s="86"/>
      <c r="L54" s="86"/>
      <c r="M54" s="86"/>
      <c r="N54" s="86"/>
      <c r="O54" s="86"/>
      <c r="P54" s="86"/>
      <c r="Q54" s="86"/>
      <c r="R54" s="86"/>
      <c r="S54" s="86"/>
      <c r="T54" s="86"/>
      <c r="U54" s="86"/>
      <c r="V54" s="86"/>
      <c r="W54" s="86"/>
      <c r="X54" s="86"/>
      <c r="Y54" s="86"/>
      <c r="Z54" s="86"/>
      <c r="AA54" s="86"/>
      <c r="AB54" s="86"/>
      <c r="AC54" s="86"/>
      <c r="AD54" s="86"/>
      <c r="AE54" s="86"/>
      <c r="AF54" s="86"/>
      <c r="AG54" s="86"/>
      <c r="AH54" s="86"/>
      <c r="AI54" s="86"/>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c r="CK54" s="86"/>
      <c r="CL54" s="86"/>
      <c r="CM54" s="86"/>
      <c r="CN54" s="86"/>
      <c r="CO54" s="86"/>
      <c r="CP54" s="86"/>
      <c r="CQ54" s="86"/>
      <c r="CR54" s="86"/>
      <c r="CS54" s="86"/>
      <c r="CT54" s="86"/>
      <c r="CU54" s="86"/>
      <c r="CV54" s="86"/>
      <c r="CW54" s="86"/>
      <c r="CX54" s="86"/>
      <c r="CY54" s="86"/>
      <c r="CZ54" s="86"/>
      <c r="DA54" s="86"/>
      <c r="DB54" s="86"/>
      <c r="DC54" s="86"/>
      <c r="DD54" s="86"/>
      <c r="DE54" s="86"/>
      <c r="DF54" s="86"/>
      <c r="DG54" s="86"/>
      <c r="DH54" s="86"/>
      <c r="DI54" s="86"/>
      <c r="DJ54" s="86"/>
      <c r="DK54" s="86"/>
      <c r="DL54" s="86"/>
      <c r="DM54" s="86"/>
      <c r="DN54" s="86"/>
      <c r="DO54" s="86"/>
      <c r="DP54" s="86"/>
      <c r="DQ54" s="86"/>
      <c r="DR54" s="86"/>
      <c r="DS54" s="86"/>
      <c r="DT54" s="86"/>
      <c r="DU54" s="86"/>
      <c r="DV54" s="86"/>
      <c r="DW54" s="86"/>
      <c r="DX54" s="86"/>
      <c r="DY54" s="86"/>
      <c r="DZ54" s="86"/>
      <c r="EA54" s="86"/>
      <c r="EB54" s="86"/>
      <c r="EC54" s="86"/>
      <c r="ED54" s="86"/>
      <c r="EE54" s="86"/>
      <c r="EF54" s="86"/>
      <c r="EG54" s="86"/>
      <c r="EH54" s="86"/>
      <c r="EI54" s="86"/>
      <c r="EJ54" s="86"/>
      <c r="EK54" s="86"/>
      <c r="EL54" s="86"/>
      <c r="EM54" s="86"/>
      <c r="EN54" s="86"/>
      <c r="EO54" s="86"/>
      <c r="EP54" s="86"/>
      <c r="EQ54" s="86"/>
      <c r="ER54" s="86"/>
      <c r="ES54" s="86"/>
      <c r="ET54" s="86"/>
      <c r="EU54" s="86"/>
      <c r="EV54" s="86"/>
      <c r="EW54" s="86"/>
      <c r="EX54" s="86"/>
      <c r="EY54" s="86"/>
      <c r="EZ54" s="86"/>
      <c r="FA54" s="86"/>
      <c r="FB54" s="86"/>
      <c r="FC54" s="86"/>
      <c r="FD54" s="86"/>
      <c r="FE54" s="86"/>
      <c r="FF54" s="86"/>
      <c r="FG54" s="86"/>
      <c r="FH54" s="86"/>
      <c r="FI54" s="86"/>
      <c r="FJ54" s="86"/>
      <c r="FK54" s="86"/>
      <c r="FL54" s="86"/>
      <c r="FM54" s="86"/>
      <c r="FN54" s="86"/>
      <c r="FO54" s="86"/>
      <c r="FP54" s="86"/>
      <c r="FQ54" s="86"/>
      <c r="FR54" s="86"/>
      <c r="FS54" s="86"/>
      <c r="FT54" s="86"/>
      <c r="FU54" s="86"/>
      <c r="FV54" s="86"/>
      <c r="FW54" s="86"/>
      <c r="FX54" s="86"/>
      <c r="FY54" s="86"/>
      <c r="FZ54" s="86"/>
      <c r="GA54" s="86"/>
      <c r="GB54" s="86"/>
      <c r="GC54" s="86"/>
      <c r="GD54" s="86"/>
      <c r="GE54" s="86"/>
      <c r="GF54" s="86"/>
      <c r="GG54" s="86"/>
      <c r="GH54" s="86"/>
      <c r="GI54" s="86"/>
      <c r="GJ54" s="86"/>
      <c r="GK54" s="86"/>
      <c r="GL54" s="86"/>
      <c r="GM54" s="86"/>
      <c r="GN54" s="86"/>
      <c r="GO54" s="86"/>
      <c r="GP54" s="86"/>
      <c r="GQ54" s="86"/>
      <c r="GR54" s="86"/>
      <c r="GS54" s="86"/>
      <c r="GT54" s="86"/>
      <c r="GU54" s="86"/>
      <c r="GV54" s="86"/>
      <c r="GW54" s="86"/>
      <c r="GX54" s="86"/>
      <c r="GY54" s="86"/>
      <c r="GZ54" s="86"/>
      <c r="HA54" s="86"/>
      <c r="HB54" s="86"/>
      <c r="HC54" s="86"/>
      <c r="HD54" s="86"/>
      <c r="HE54" s="86"/>
      <c r="HF54" s="86"/>
      <c r="HG54" s="86"/>
      <c r="HH54" s="86"/>
      <c r="HI54" s="86"/>
      <c r="HJ54" s="86"/>
      <c r="HK54" s="86"/>
      <c r="HL54" s="86"/>
      <c r="HM54" s="86"/>
      <c r="HN54" s="86"/>
      <c r="HO54" s="86"/>
      <c r="HP54" s="86"/>
      <c r="HQ54" s="86"/>
      <c r="HR54" s="86"/>
      <c r="HS54" s="86"/>
      <c r="HT54" s="86"/>
      <c r="HU54" s="86"/>
      <c r="HV54" s="86"/>
      <c r="HW54" s="86"/>
      <c r="HX54" s="86"/>
      <c r="HY54" s="86"/>
      <c r="HZ54" s="86"/>
      <c r="IA54" s="86"/>
      <c r="IB54" s="86"/>
      <c r="IC54" s="86"/>
      <c r="ID54" s="86"/>
      <c r="IE54" s="86"/>
      <c r="IF54" s="86"/>
      <c r="IG54" s="86"/>
      <c r="IH54" s="86"/>
      <c r="II54" s="86"/>
      <c r="IJ54" s="86"/>
      <c r="IK54" s="86"/>
      <c r="IL54" s="86"/>
      <c r="IM54" s="86"/>
      <c r="IN54" s="86"/>
      <c r="IO54" s="86"/>
      <c r="IP54" s="86"/>
      <c r="IQ54" s="86"/>
      <c r="IR54" s="86"/>
      <c r="IS54" s="86"/>
      <c r="IT54" s="86"/>
      <c r="IU54" s="86"/>
      <c r="IV54" s="86"/>
    </row>
    <row r="55" spans="1:256" s="58" customFormat="1" ht="13.5" customHeight="1" x14ac:dyDescent="0.2">
      <c r="A55" s="66"/>
      <c r="B55" s="83" t="s">
        <v>90</v>
      </c>
      <c r="C55" s="57"/>
      <c r="E55" s="59"/>
    </row>
    <row r="56" spans="1:256" s="58" customFormat="1" ht="13.5" customHeight="1" x14ac:dyDescent="0.2">
      <c r="A56" s="66"/>
      <c r="B56" s="83" t="s">
        <v>91</v>
      </c>
      <c r="C56" s="57"/>
    </row>
    <row r="57" spans="1:256" s="58" customFormat="1" ht="13.5" customHeight="1" x14ac:dyDescent="0.2">
      <c r="A57" s="66"/>
      <c r="B57" s="83" t="s">
        <v>92</v>
      </c>
      <c r="C57" s="57"/>
    </row>
    <row r="58" spans="1:256" s="58" customFormat="1" ht="13.5" customHeight="1" x14ac:dyDescent="0.2">
      <c r="A58" s="66"/>
      <c r="B58" s="83" t="s">
        <v>93</v>
      </c>
      <c r="C58" s="57"/>
    </row>
    <row r="59" spans="1:256" s="58" customFormat="1" ht="13.5" customHeight="1" x14ac:dyDescent="0.2">
      <c r="A59" s="66"/>
      <c r="B59" s="83" t="s">
        <v>94</v>
      </c>
      <c r="C59" s="57"/>
    </row>
    <row r="60" spans="1:256" s="58" customFormat="1" ht="13.5" customHeight="1" x14ac:dyDescent="0.2">
      <c r="A60" s="66"/>
      <c r="B60" s="83" t="s">
        <v>95</v>
      </c>
      <c r="C60" s="57"/>
    </row>
    <row r="61" spans="1:256" s="58" customFormat="1" ht="13.5" customHeight="1" x14ac:dyDescent="0.2">
      <c r="A61" s="66"/>
      <c r="B61" s="83" t="s">
        <v>96</v>
      </c>
      <c r="C61" s="57"/>
    </row>
    <row r="62" spans="1:256" s="58" customFormat="1" ht="13.5" customHeight="1" x14ac:dyDescent="0.2">
      <c r="A62" s="66"/>
      <c r="B62" s="83" t="s">
        <v>97</v>
      </c>
      <c r="C62" s="57"/>
    </row>
    <row r="63" spans="1:256" s="58" customFormat="1" ht="13.5" customHeight="1" x14ac:dyDescent="0.2">
      <c r="A63" s="66"/>
      <c r="B63" s="83" t="s">
        <v>98</v>
      </c>
      <c r="C63" s="57"/>
    </row>
    <row r="64" spans="1:256" s="58" customFormat="1" ht="13.5" customHeight="1" x14ac:dyDescent="0.2">
      <c r="A64" s="66"/>
      <c r="B64" s="83" t="s">
        <v>99</v>
      </c>
      <c r="C64" s="57"/>
    </row>
    <row r="65" spans="1:3" s="58" customFormat="1" ht="13.5" customHeight="1" x14ac:dyDescent="0.2">
      <c r="A65" s="66"/>
      <c r="B65" s="83" t="s">
        <v>100</v>
      </c>
      <c r="C65" s="57"/>
    </row>
    <row r="66" spans="1:3" s="58" customFormat="1" ht="13.5" customHeight="1" x14ac:dyDescent="0.2">
      <c r="A66" s="66"/>
      <c r="B66" s="83" t="s">
        <v>101</v>
      </c>
      <c r="C66" s="57"/>
    </row>
    <row r="67" spans="1:3" s="58" customFormat="1" ht="13.5" customHeight="1" x14ac:dyDescent="0.2">
      <c r="A67" s="66"/>
      <c r="B67" s="83" t="s">
        <v>102</v>
      </c>
      <c r="C67" s="57"/>
    </row>
    <row r="68" spans="1:3" s="58" customFormat="1" ht="13.5" customHeight="1" x14ac:dyDescent="0.2">
      <c r="A68" s="66"/>
      <c r="B68" s="83" t="s">
        <v>103</v>
      </c>
      <c r="C68" s="57"/>
    </row>
    <row r="69" spans="1:3" s="58" customFormat="1" ht="13.5" customHeight="1" x14ac:dyDescent="0.2">
      <c r="A69" s="66"/>
      <c r="B69" s="83" t="s">
        <v>104</v>
      </c>
      <c r="C69" s="57"/>
    </row>
    <row r="70" spans="1:3" s="58" customFormat="1" ht="13.5" customHeight="1" x14ac:dyDescent="0.2">
      <c r="A70" s="66"/>
      <c r="B70" s="83" t="s">
        <v>105</v>
      </c>
      <c r="C70" s="57"/>
    </row>
    <row r="71" spans="1:3" s="61" customFormat="1" ht="13.5" customHeight="1" x14ac:dyDescent="0.2">
      <c r="A71" s="66"/>
      <c r="B71" s="83" t="s">
        <v>106</v>
      </c>
      <c r="C71" s="60"/>
    </row>
    <row r="72" spans="1:3" s="63" customFormat="1" ht="13.5" customHeight="1" thickBot="1" x14ac:dyDescent="0.25">
      <c r="A72" s="66"/>
      <c r="B72" s="262" t="s">
        <v>107</v>
      </c>
      <c r="C72" s="62"/>
    </row>
    <row r="73" spans="1:3" x14ac:dyDescent="0.2">
      <c r="A73" s="29"/>
      <c r="B73" s="261"/>
    </row>
    <row r="74" spans="1:3" x14ac:dyDescent="0.2">
      <c r="A74" s="29"/>
      <c r="B74" s="261"/>
    </row>
    <row r="75" spans="1:3" x14ac:dyDescent="0.2">
      <c r="A75" s="29"/>
      <c r="B75" s="261"/>
    </row>
    <row r="76" spans="1:3" x14ac:dyDescent="0.2">
      <c r="A76" s="29"/>
      <c r="B76" s="261"/>
    </row>
  </sheetData>
  <phoneticPr fontId="0" type="noConversion"/>
  <pageMargins left="0.75" right="0.75" top="1" bottom="1" header="0.5" footer="0.5"/>
  <pageSetup paperSize="9" orientation="portrait" horizontalDpi="4294967293" verticalDpi="300" r:id="rId1"/>
  <headerFooter alignWithMargins="0"/>
  <drawing r:id="rId2"/>
  <legacyDrawing r:id="rId3"/>
  <oleObjects>
    <mc:AlternateContent xmlns:mc="http://schemas.openxmlformats.org/markup-compatibility/2006">
      <mc:Choice Requires="x14">
        <oleObject progId="Equation.3" shapeId="6165" r:id="rId4">
          <objectPr defaultSize="0" r:id="rId5">
            <anchor moveWithCells="1">
              <from>
                <xdr:col>1</xdr:col>
                <xdr:colOff>619125</xdr:colOff>
                <xdr:row>10</xdr:row>
                <xdr:rowOff>0</xdr:rowOff>
              </from>
              <to>
                <xdr:col>1</xdr:col>
                <xdr:colOff>952500</xdr:colOff>
                <xdr:row>11</xdr:row>
                <xdr:rowOff>19050</xdr:rowOff>
              </to>
            </anchor>
          </objectPr>
        </oleObject>
      </mc:Choice>
      <mc:Fallback>
        <oleObject progId="Equation.3" shapeId="6165" r:id="rId4"/>
      </mc:Fallback>
    </mc:AlternateContent>
    <mc:AlternateContent xmlns:mc="http://schemas.openxmlformats.org/markup-compatibility/2006">
      <mc:Choice Requires="x14">
        <oleObject progId="Equation.3" shapeId="6166" r:id="rId6">
          <objectPr defaultSize="0" r:id="rId7">
            <anchor moveWithCells="1">
              <from>
                <xdr:col>1</xdr:col>
                <xdr:colOff>409575</xdr:colOff>
                <xdr:row>9</xdr:row>
                <xdr:rowOff>0</xdr:rowOff>
              </from>
              <to>
                <xdr:col>1</xdr:col>
                <xdr:colOff>714375</xdr:colOff>
                <xdr:row>10</xdr:row>
                <xdr:rowOff>19050</xdr:rowOff>
              </to>
            </anchor>
          </objectPr>
        </oleObject>
      </mc:Choice>
      <mc:Fallback>
        <oleObject progId="Equation.3" shapeId="6166" r:id="rId6"/>
      </mc:Fallback>
    </mc:AlternateContent>
    <mc:AlternateContent xmlns:mc="http://schemas.openxmlformats.org/markup-compatibility/2006">
      <mc:Choice Requires="x14">
        <oleObject progId="Equation.3" shapeId="6167" r:id="rId8">
          <objectPr defaultSize="0" r:id="rId9">
            <anchor moveWithCells="1">
              <from>
                <xdr:col>1</xdr:col>
                <xdr:colOff>781050</xdr:colOff>
                <xdr:row>11</xdr:row>
                <xdr:rowOff>0</xdr:rowOff>
              </from>
              <to>
                <xdr:col>1</xdr:col>
                <xdr:colOff>1152525</xdr:colOff>
                <xdr:row>12</xdr:row>
                <xdr:rowOff>19050</xdr:rowOff>
              </to>
            </anchor>
          </objectPr>
        </oleObject>
      </mc:Choice>
      <mc:Fallback>
        <oleObject progId="Equation.3" shapeId="6167" r:id="rId8"/>
      </mc:Fallback>
    </mc:AlternateContent>
    <mc:AlternateContent xmlns:mc="http://schemas.openxmlformats.org/markup-compatibility/2006">
      <mc:Choice Requires="x14">
        <oleObject progId="Equation.3" shapeId="6168" r:id="rId10">
          <objectPr defaultSize="0" r:id="rId11">
            <anchor moveWithCells="1">
              <from>
                <xdr:col>1</xdr:col>
                <xdr:colOff>695325</xdr:colOff>
                <xdr:row>12</xdr:row>
                <xdr:rowOff>0</xdr:rowOff>
              </from>
              <to>
                <xdr:col>1</xdr:col>
                <xdr:colOff>1038225</xdr:colOff>
                <xdr:row>13</xdr:row>
                <xdr:rowOff>19050</xdr:rowOff>
              </to>
            </anchor>
          </objectPr>
        </oleObject>
      </mc:Choice>
      <mc:Fallback>
        <oleObject progId="Equation.3" shapeId="6168" r:id="rId10"/>
      </mc:Fallback>
    </mc:AlternateContent>
    <mc:AlternateContent xmlns:mc="http://schemas.openxmlformats.org/markup-compatibility/2006">
      <mc:Choice Requires="x14">
        <oleObject progId="Equation.3" shapeId="6169" r:id="rId12">
          <objectPr defaultSize="0" r:id="rId13">
            <anchor moveWithCells="1">
              <from>
                <xdr:col>1</xdr:col>
                <xdr:colOff>409575</xdr:colOff>
                <xdr:row>13</xdr:row>
                <xdr:rowOff>0</xdr:rowOff>
              </from>
              <to>
                <xdr:col>1</xdr:col>
                <xdr:colOff>723900</xdr:colOff>
                <xdr:row>14</xdr:row>
                <xdr:rowOff>28575</xdr:rowOff>
              </to>
            </anchor>
          </objectPr>
        </oleObject>
      </mc:Choice>
      <mc:Fallback>
        <oleObject progId="Equation.3" shapeId="6169" r:id="rId12"/>
      </mc:Fallback>
    </mc:AlternateContent>
    <mc:AlternateContent xmlns:mc="http://schemas.openxmlformats.org/markup-compatibility/2006">
      <mc:Choice Requires="x14">
        <oleObject progId="Equation.3" shapeId="6170" r:id="rId14">
          <objectPr defaultSize="0" r:id="rId15">
            <anchor moveWithCells="1">
              <from>
                <xdr:col>1</xdr:col>
                <xdr:colOff>619125</xdr:colOff>
                <xdr:row>14</xdr:row>
                <xdr:rowOff>0</xdr:rowOff>
              </from>
              <to>
                <xdr:col>1</xdr:col>
                <xdr:colOff>962025</xdr:colOff>
                <xdr:row>15</xdr:row>
                <xdr:rowOff>28575</xdr:rowOff>
              </to>
            </anchor>
          </objectPr>
        </oleObject>
      </mc:Choice>
      <mc:Fallback>
        <oleObject progId="Equation.3" shapeId="6170" r:id="rId14"/>
      </mc:Fallback>
    </mc:AlternateContent>
    <mc:AlternateContent xmlns:mc="http://schemas.openxmlformats.org/markup-compatibility/2006">
      <mc:Choice Requires="x14">
        <oleObject progId="Equation.3" shapeId="6171" r:id="rId16">
          <objectPr defaultSize="0" r:id="rId17">
            <anchor moveWithCells="1">
              <from>
                <xdr:col>1</xdr:col>
                <xdr:colOff>781050</xdr:colOff>
                <xdr:row>15</xdr:row>
                <xdr:rowOff>0</xdr:rowOff>
              </from>
              <to>
                <xdr:col>1</xdr:col>
                <xdr:colOff>1152525</xdr:colOff>
                <xdr:row>16</xdr:row>
                <xdr:rowOff>28575</xdr:rowOff>
              </to>
            </anchor>
          </objectPr>
        </oleObject>
      </mc:Choice>
      <mc:Fallback>
        <oleObject progId="Equation.3" shapeId="6171" r:id="rId16"/>
      </mc:Fallback>
    </mc:AlternateContent>
    <mc:AlternateContent xmlns:mc="http://schemas.openxmlformats.org/markup-compatibility/2006">
      <mc:Choice Requires="x14">
        <oleObject progId="Equation.3" shapeId="6172" r:id="rId18">
          <objectPr defaultSize="0" r:id="rId19">
            <anchor moveWithCells="1">
              <from>
                <xdr:col>1</xdr:col>
                <xdr:colOff>695325</xdr:colOff>
                <xdr:row>16</xdr:row>
                <xdr:rowOff>0</xdr:rowOff>
              </from>
              <to>
                <xdr:col>1</xdr:col>
                <xdr:colOff>1038225</xdr:colOff>
                <xdr:row>17</xdr:row>
                <xdr:rowOff>28575</xdr:rowOff>
              </to>
            </anchor>
          </objectPr>
        </oleObject>
      </mc:Choice>
      <mc:Fallback>
        <oleObject progId="Equation.3" shapeId="6172" r:id="rId18"/>
      </mc:Fallback>
    </mc:AlternateContent>
    <mc:AlternateContent xmlns:mc="http://schemas.openxmlformats.org/markup-compatibility/2006">
      <mc:Choice Requires="x14">
        <oleObject progId="Equation.3" shapeId="6173" r:id="rId20">
          <objectPr defaultSize="0" r:id="rId21">
            <anchor moveWithCells="1">
              <from>
                <xdr:col>1</xdr:col>
                <xdr:colOff>409575</xdr:colOff>
                <xdr:row>17</xdr:row>
                <xdr:rowOff>0</xdr:rowOff>
              </from>
              <to>
                <xdr:col>1</xdr:col>
                <xdr:colOff>714375</xdr:colOff>
                <xdr:row>18</xdr:row>
                <xdr:rowOff>28575</xdr:rowOff>
              </to>
            </anchor>
          </objectPr>
        </oleObject>
      </mc:Choice>
      <mc:Fallback>
        <oleObject progId="Equation.3" shapeId="6173" r:id="rId20"/>
      </mc:Fallback>
    </mc:AlternateContent>
    <mc:AlternateContent xmlns:mc="http://schemas.openxmlformats.org/markup-compatibility/2006">
      <mc:Choice Requires="x14">
        <oleObject progId="Equation.3" shapeId="6175" r:id="rId22">
          <objectPr defaultSize="0" r:id="rId23">
            <anchor moveWithCells="1">
              <from>
                <xdr:col>1</xdr:col>
                <xdr:colOff>619125</xdr:colOff>
                <xdr:row>18</xdr:row>
                <xdr:rowOff>0</xdr:rowOff>
              </from>
              <to>
                <xdr:col>1</xdr:col>
                <xdr:colOff>952500</xdr:colOff>
                <xdr:row>19</xdr:row>
                <xdr:rowOff>28575</xdr:rowOff>
              </to>
            </anchor>
          </objectPr>
        </oleObject>
      </mc:Choice>
      <mc:Fallback>
        <oleObject progId="Equation.3" shapeId="6175" r:id="rId22"/>
      </mc:Fallback>
    </mc:AlternateContent>
    <mc:AlternateContent xmlns:mc="http://schemas.openxmlformats.org/markup-compatibility/2006">
      <mc:Choice Requires="x14">
        <oleObject progId="Equation.3" shapeId="6176" r:id="rId24">
          <objectPr defaultSize="0" r:id="rId25">
            <anchor moveWithCells="1">
              <from>
                <xdr:col>1</xdr:col>
                <xdr:colOff>781050</xdr:colOff>
                <xdr:row>19</xdr:row>
                <xdr:rowOff>0</xdr:rowOff>
              </from>
              <to>
                <xdr:col>1</xdr:col>
                <xdr:colOff>1133475</xdr:colOff>
                <xdr:row>20</xdr:row>
                <xdr:rowOff>28575</xdr:rowOff>
              </to>
            </anchor>
          </objectPr>
        </oleObject>
      </mc:Choice>
      <mc:Fallback>
        <oleObject progId="Equation.3" shapeId="6176" r:id="rId24"/>
      </mc:Fallback>
    </mc:AlternateContent>
    <mc:AlternateContent xmlns:mc="http://schemas.openxmlformats.org/markup-compatibility/2006">
      <mc:Choice Requires="x14">
        <oleObject progId="Equation.3" shapeId="6177" r:id="rId26">
          <objectPr defaultSize="0" r:id="rId27">
            <anchor moveWithCells="1">
              <from>
                <xdr:col>1</xdr:col>
                <xdr:colOff>704850</xdr:colOff>
                <xdr:row>20</xdr:row>
                <xdr:rowOff>0</xdr:rowOff>
              </from>
              <to>
                <xdr:col>1</xdr:col>
                <xdr:colOff>1047750</xdr:colOff>
                <xdr:row>21</xdr:row>
                <xdr:rowOff>28575</xdr:rowOff>
              </to>
            </anchor>
          </objectPr>
        </oleObject>
      </mc:Choice>
      <mc:Fallback>
        <oleObject progId="Equation.3" shapeId="6177" r:id="rId26"/>
      </mc:Fallback>
    </mc:AlternateContent>
    <mc:AlternateContent xmlns:mc="http://schemas.openxmlformats.org/markup-compatibility/2006">
      <mc:Choice Requires="x14">
        <oleObject progId="Equation.3" shapeId="6178" r:id="rId28">
          <objectPr defaultSize="0" r:id="rId29">
            <anchor moveWithCells="1">
              <from>
                <xdr:col>1</xdr:col>
                <xdr:colOff>409575</xdr:colOff>
                <xdr:row>25</xdr:row>
                <xdr:rowOff>0</xdr:rowOff>
              </from>
              <to>
                <xdr:col>1</xdr:col>
                <xdr:colOff>790575</xdr:colOff>
                <xdr:row>26</xdr:row>
                <xdr:rowOff>19050</xdr:rowOff>
              </to>
            </anchor>
          </objectPr>
        </oleObject>
      </mc:Choice>
      <mc:Fallback>
        <oleObject progId="Equation.3" shapeId="6178" r:id="rId28"/>
      </mc:Fallback>
    </mc:AlternateContent>
    <mc:AlternateContent xmlns:mc="http://schemas.openxmlformats.org/markup-compatibility/2006">
      <mc:Choice Requires="x14">
        <oleObject progId="Equation.3" shapeId="6180" r:id="rId30">
          <objectPr defaultSize="0" r:id="rId31">
            <anchor moveWithCells="1">
              <from>
                <xdr:col>1</xdr:col>
                <xdr:colOff>619125</xdr:colOff>
                <xdr:row>26</xdr:row>
                <xdr:rowOff>0</xdr:rowOff>
              </from>
              <to>
                <xdr:col>1</xdr:col>
                <xdr:colOff>952500</xdr:colOff>
                <xdr:row>27</xdr:row>
                <xdr:rowOff>19050</xdr:rowOff>
              </to>
            </anchor>
          </objectPr>
        </oleObject>
      </mc:Choice>
      <mc:Fallback>
        <oleObject progId="Equation.3" shapeId="6180" r:id="rId30"/>
      </mc:Fallback>
    </mc:AlternateContent>
    <mc:AlternateContent xmlns:mc="http://schemas.openxmlformats.org/markup-compatibility/2006">
      <mc:Choice Requires="x14">
        <oleObject progId="Equation.3" shapeId="6181" r:id="rId32">
          <objectPr defaultSize="0" r:id="rId33">
            <anchor moveWithCells="1">
              <from>
                <xdr:col>1</xdr:col>
                <xdr:colOff>781050</xdr:colOff>
                <xdr:row>27</xdr:row>
                <xdr:rowOff>0</xdr:rowOff>
              </from>
              <to>
                <xdr:col>1</xdr:col>
                <xdr:colOff>1152525</xdr:colOff>
                <xdr:row>28</xdr:row>
                <xdr:rowOff>19050</xdr:rowOff>
              </to>
            </anchor>
          </objectPr>
        </oleObject>
      </mc:Choice>
      <mc:Fallback>
        <oleObject progId="Equation.3" shapeId="6181" r:id="rId32"/>
      </mc:Fallback>
    </mc:AlternateContent>
    <mc:AlternateContent xmlns:mc="http://schemas.openxmlformats.org/markup-compatibility/2006">
      <mc:Choice Requires="x14">
        <oleObject progId="Equation.3" shapeId="6182" r:id="rId34">
          <objectPr defaultSize="0" r:id="rId35">
            <anchor moveWithCells="1">
              <from>
                <xdr:col>1</xdr:col>
                <xdr:colOff>695325</xdr:colOff>
                <xdr:row>28</xdr:row>
                <xdr:rowOff>0</xdr:rowOff>
              </from>
              <to>
                <xdr:col>1</xdr:col>
                <xdr:colOff>1047750</xdr:colOff>
                <xdr:row>29</xdr:row>
                <xdr:rowOff>19050</xdr:rowOff>
              </to>
            </anchor>
          </objectPr>
        </oleObject>
      </mc:Choice>
      <mc:Fallback>
        <oleObject progId="Equation.3" shapeId="6182" r:id="rId34"/>
      </mc:Fallback>
    </mc:AlternateContent>
    <mc:AlternateContent xmlns:mc="http://schemas.openxmlformats.org/markup-compatibility/2006">
      <mc:Choice Requires="x14">
        <oleObject progId="Equation.3" shapeId="6186" r:id="rId36">
          <objectPr defaultSize="0" r:id="rId35">
            <anchor moveWithCells="1">
              <from>
                <xdr:col>1</xdr:col>
                <xdr:colOff>695325</xdr:colOff>
                <xdr:row>24</xdr:row>
                <xdr:rowOff>0</xdr:rowOff>
              </from>
              <to>
                <xdr:col>1</xdr:col>
                <xdr:colOff>1047750</xdr:colOff>
                <xdr:row>25</xdr:row>
                <xdr:rowOff>19050</xdr:rowOff>
              </to>
            </anchor>
          </objectPr>
        </oleObject>
      </mc:Choice>
      <mc:Fallback>
        <oleObject progId="Equation.3" shapeId="6186" r:id="rId36"/>
      </mc:Fallback>
    </mc:AlternateContent>
    <mc:AlternateContent xmlns:mc="http://schemas.openxmlformats.org/markup-compatibility/2006">
      <mc:Choice Requires="x14">
        <oleObject progId="Equation.3" shapeId="6187" r:id="rId37">
          <objectPr defaultSize="0" r:id="rId38">
            <anchor moveWithCells="1">
              <from>
                <xdr:col>1</xdr:col>
                <xdr:colOff>409575</xdr:colOff>
                <xdr:row>21</xdr:row>
                <xdr:rowOff>0</xdr:rowOff>
              </from>
              <to>
                <xdr:col>1</xdr:col>
                <xdr:colOff>790575</xdr:colOff>
                <xdr:row>22</xdr:row>
                <xdr:rowOff>19050</xdr:rowOff>
              </to>
            </anchor>
          </objectPr>
        </oleObject>
      </mc:Choice>
      <mc:Fallback>
        <oleObject progId="Equation.3" shapeId="6187" r:id="rId37"/>
      </mc:Fallback>
    </mc:AlternateContent>
    <mc:AlternateContent xmlns:mc="http://schemas.openxmlformats.org/markup-compatibility/2006">
      <mc:Choice Requires="x14">
        <oleObject progId="Equation.3" shapeId="6188" r:id="rId39">
          <objectPr defaultSize="0" r:id="rId40">
            <anchor moveWithCells="1">
              <from>
                <xdr:col>1</xdr:col>
                <xdr:colOff>628650</xdr:colOff>
                <xdr:row>22</xdr:row>
                <xdr:rowOff>0</xdr:rowOff>
              </from>
              <to>
                <xdr:col>1</xdr:col>
                <xdr:colOff>971550</xdr:colOff>
                <xdr:row>23</xdr:row>
                <xdr:rowOff>19050</xdr:rowOff>
              </to>
            </anchor>
          </objectPr>
        </oleObject>
      </mc:Choice>
      <mc:Fallback>
        <oleObject progId="Equation.3" shapeId="6188" r:id="rId39"/>
      </mc:Fallback>
    </mc:AlternateContent>
    <mc:AlternateContent xmlns:mc="http://schemas.openxmlformats.org/markup-compatibility/2006">
      <mc:Choice Requires="x14">
        <oleObject progId="Equation.3" shapeId="6189" r:id="rId41">
          <objectPr defaultSize="0" r:id="rId42">
            <anchor moveWithCells="1">
              <from>
                <xdr:col>1</xdr:col>
                <xdr:colOff>781050</xdr:colOff>
                <xdr:row>23</xdr:row>
                <xdr:rowOff>0</xdr:rowOff>
              </from>
              <to>
                <xdr:col>1</xdr:col>
                <xdr:colOff>1162050</xdr:colOff>
                <xdr:row>24</xdr:row>
                <xdr:rowOff>19050</xdr:rowOff>
              </to>
            </anchor>
          </objectPr>
        </oleObject>
      </mc:Choice>
      <mc:Fallback>
        <oleObject progId="Equation.3" shapeId="6189" r:id="rId41"/>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BZ250"/>
  <sheetViews>
    <sheetView showGridLines="0" topLeftCell="Z1" zoomScale="75" workbookViewId="0">
      <selection activeCell="AY1" sqref="AY1"/>
    </sheetView>
  </sheetViews>
  <sheetFormatPr defaultRowHeight="12.75" x14ac:dyDescent="0.2"/>
  <cols>
    <col min="1" max="1" width="16.28515625" style="112" customWidth="1"/>
    <col min="2" max="2" width="13.42578125" style="112" customWidth="1"/>
    <col min="3" max="3" width="12.5703125" style="112" customWidth="1"/>
    <col min="4" max="4" width="14.28515625" style="112" customWidth="1"/>
    <col min="5" max="5" width="12.5703125" style="112" customWidth="1"/>
    <col min="6" max="6" width="12.28515625" style="112" customWidth="1"/>
    <col min="7" max="8" width="12.140625" style="112" customWidth="1"/>
    <col min="9" max="9" width="11.42578125" style="112" customWidth="1"/>
    <col min="10" max="10" width="14.5703125" style="112" customWidth="1"/>
    <col min="11" max="11" width="11.85546875" style="112" customWidth="1"/>
    <col min="12" max="12" width="11.7109375" style="112" customWidth="1"/>
    <col min="13" max="13" width="13.85546875" style="112" customWidth="1"/>
    <col min="14" max="14" width="11.28515625" style="112" customWidth="1"/>
    <col min="15" max="15" width="11" style="112" customWidth="1"/>
    <col min="16" max="16" width="6.7109375" style="112" customWidth="1"/>
    <col min="17" max="17" width="11" style="112" customWidth="1"/>
    <col min="18" max="18" width="14.42578125" style="112" customWidth="1"/>
    <col min="19" max="19" width="13.42578125" style="112" customWidth="1"/>
    <col min="20" max="20" width="16.42578125" style="112" customWidth="1"/>
    <col min="21" max="21" width="16.140625" style="112" customWidth="1"/>
    <col min="22" max="22" width="11.85546875" style="112" customWidth="1"/>
    <col min="23" max="23" width="12.7109375" style="112" customWidth="1"/>
    <col min="24" max="24" width="13.42578125" style="112" customWidth="1"/>
    <col min="25" max="25" width="10.85546875" style="112" customWidth="1"/>
    <col min="26" max="26" width="53" style="112" customWidth="1"/>
    <col min="27" max="27" width="11" style="112" customWidth="1"/>
    <col min="28" max="77" width="0.85546875" style="112" customWidth="1"/>
    <col min="78" max="16384" width="9.140625" style="112"/>
  </cols>
  <sheetData>
    <row r="1" spans="1:28" ht="9.75" customHeight="1" x14ac:dyDescent="0.2">
      <c r="R1" s="5"/>
      <c r="S1" s="6"/>
      <c r="T1" s="6"/>
      <c r="U1" s="6"/>
      <c r="V1" s="6"/>
      <c r="W1" s="6"/>
      <c r="X1" s="3"/>
      <c r="Y1" s="2"/>
    </row>
    <row r="2" spans="1:28" ht="15.75" x14ac:dyDescent="0.2">
      <c r="A2" s="113" t="s">
        <v>118</v>
      </c>
      <c r="C2" s="114" t="s">
        <v>117</v>
      </c>
      <c r="D2" s="93" t="s">
        <v>25</v>
      </c>
      <c r="E2" s="93"/>
      <c r="F2" s="93" t="s">
        <v>26</v>
      </c>
      <c r="G2" s="115" t="s">
        <v>27</v>
      </c>
      <c r="H2" s="93" t="s">
        <v>28</v>
      </c>
      <c r="I2" s="116"/>
      <c r="J2" s="116" t="s">
        <v>65</v>
      </c>
      <c r="K2" s="116"/>
      <c r="L2" s="117"/>
      <c r="M2" s="117"/>
      <c r="N2" s="117"/>
      <c r="O2" s="117"/>
      <c r="P2" s="2"/>
      <c r="Q2" s="2"/>
      <c r="R2" s="118"/>
      <c r="S2" s="118"/>
      <c r="T2" s="118"/>
      <c r="U2" s="118"/>
      <c r="V2" s="118"/>
      <c r="W2" s="118"/>
      <c r="X2" s="118"/>
      <c r="Y2" s="118"/>
      <c r="Z2" s="2"/>
      <c r="AA2" s="2"/>
      <c r="AB2" s="2"/>
    </row>
    <row r="3" spans="1:28" ht="16.5" thickBot="1" x14ac:dyDescent="0.25">
      <c r="C3" s="119"/>
      <c r="D3" s="93" t="e">
        <f>LARGE(O30:O250,1)</f>
        <v>#DIV/0!</v>
      </c>
      <c r="E3" s="93"/>
      <c r="F3" s="93">
        <f>LARGE(D6:H6,1)</f>
        <v>4.9380065091565148</v>
      </c>
      <c r="G3" s="93">
        <f>LARGE(D6:H6,2)</f>
        <v>3.7191508252216163</v>
      </c>
      <c r="H3" s="93">
        <f>LARGE(D6:H6,3)</f>
        <v>3.6146668842362226</v>
      </c>
      <c r="I3" s="93"/>
      <c r="J3" s="93">
        <v>100</v>
      </c>
      <c r="K3" s="93"/>
      <c r="L3" s="117"/>
      <c r="M3" s="117"/>
      <c r="N3" s="117"/>
      <c r="O3" s="117"/>
      <c r="P3" s="2"/>
      <c r="Q3" s="2"/>
      <c r="R3" s="106"/>
      <c r="S3" s="106"/>
      <c r="T3" s="106"/>
      <c r="U3" s="106"/>
      <c r="V3" s="106"/>
      <c r="W3" s="106"/>
      <c r="X3" s="106"/>
      <c r="Y3" s="106"/>
      <c r="Z3" s="2"/>
      <c r="AA3" s="2"/>
      <c r="AB3" s="2"/>
    </row>
    <row r="4" spans="1:28" ht="15.75" x14ac:dyDescent="0.25">
      <c r="A4" s="120" t="s">
        <v>29</v>
      </c>
      <c r="B4" s="121">
        <f>(SUMIF(I30:I250, "&gt;0")+SUMIF(I30:I250, "&lt;0"))/100</f>
        <v>0</v>
      </c>
      <c r="C4" s="119"/>
      <c r="D4" s="122"/>
      <c r="E4" s="2"/>
      <c r="F4" s="2"/>
      <c r="H4" s="2"/>
      <c r="I4" s="117"/>
      <c r="J4" s="117"/>
      <c r="K4" s="117"/>
      <c r="L4" s="117"/>
      <c r="M4" s="117"/>
      <c r="N4" s="117"/>
      <c r="O4" s="117"/>
      <c r="P4" s="2"/>
      <c r="Q4" s="2"/>
      <c r="R4" s="106"/>
      <c r="S4" s="106"/>
      <c r="T4" s="106"/>
      <c r="U4" s="106"/>
      <c r="V4" s="106"/>
      <c r="W4" s="106"/>
      <c r="X4" s="106"/>
      <c r="Y4" s="106"/>
      <c r="Z4" s="2"/>
      <c r="AA4" s="2"/>
      <c r="AB4" s="2"/>
    </row>
    <row r="5" spans="1:28" ht="15.75" x14ac:dyDescent="0.25">
      <c r="A5" s="123" t="s">
        <v>30</v>
      </c>
      <c r="B5" s="124">
        <f>SQRT((SUMIF(J30:J250, "&gt;0")+SUMIF(J30:J250, "&lt;0"))/100)</f>
        <v>0</v>
      </c>
      <c r="C5" s="125"/>
      <c r="D5" s="114" t="s">
        <v>31</v>
      </c>
      <c r="E5" s="114" t="s">
        <v>32</v>
      </c>
      <c r="F5" s="114" t="s">
        <v>33</v>
      </c>
      <c r="G5" s="126" t="s">
        <v>34</v>
      </c>
      <c r="H5" s="114" t="s">
        <v>35</v>
      </c>
      <c r="I5" s="117"/>
      <c r="J5" s="117"/>
      <c r="K5" s="117"/>
      <c r="L5" s="117"/>
      <c r="M5" s="117"/>
      <c r="N5" s="117"/>
      <c r="O5" s="117"/>
      <c r="P5" s="2"/>
      <c r="Q5" s="2"/>
      <c r="R5" s="106"/>
      <c r="S5" s="106"/>
      <c r="T5" s="106"/>
      <c r="U5" s="106"/>
      <c r="V5" s="106"/>
      <c r="W5" s="106"/>
      <c r="X5" s="106"/>
      <c r="Y5" s="106"/>
      <c r="Z5" s="2"/>
      <c r="AA5" s="2"/>
      <c r="AB5" s="2"/>
    </row>
    <row r="6" spans="1:28" ht="15.75" x14ac:dyDescent="0.25">
      <c r="A6" s="123" t="s">
        <v>36</v>
      </c>
      <c r="B6" s="124" t="e">
        <f>(SUMIF(K30:K250, "&gt;0")+SUMIF(K30:K250, "&lt;0"))/((100)*(B5)^3)</f>
        <v>#DIV/0!</v>
      </c>
      <c r="C6" s="125"/>
      <c r="D6" s="114">
        <v>3.7191508252216163</v>
      </c>
      <c r="E6" s="114">
        <v>3.6146668842362226</v>
      </c>
      <c r="F6" s="114">
        <v>4.9380065091565148</v>
      </c>
      <c r="G6" s="126"/>
      <c r="H6" s="114"/>
      <c r="I6" s="117"/>
      <c r="J6" s="117"/>
      <c r="K6" s="117"/>
      <c r="L6" s="117"/>
      <c r="M6" s="117"/>
      <c r="N6" s="117"/>
      <c r="O6" s="117"/>
      <c r="P6" s="2"/>
      <c r="Q6" s="2"/>
      <c r="R6" s="106"/>
      <c r="S6" s="106"/>
      <c r="T6" s="106"/>
      <c r="U6" s="106"/>
      <c r="V6" s="106"/>
      <c r="W6" s="106"/>
      <c r="X6" s="106"/>
      <c r="Y6" s="106"/>
      <c r="Z6" s="2"/>
      <c r="AA6" s="2"/>
      <c r="AB6" s="2"/>
    </row>
    <row r="7" spans="1:28" ht="16.5" thickBot="1" x14ac:dyDescent="0.3">
      <c r="A7" s="127" t="s">
        <v>37</v>
      </c>
      <c r="B7" s="128" t="e">
        <f>(SUMIF(L30:L250, "&gt;0")+SUMIF(L30:L250, "&lt;0"))/((100)*(B5)^4)</f>
        <v>#DIV/0!</v>
      </c>
      <c r="C7" s="129"/>
      <c r="D7" s="122"/>
      <c r="E7" s="2"/>
      <c r="F7" s="2"/>
      <c r="H7" s="2"/>
      <c r="I7" s="117"/>
      <c r="J7" s="117"/>
      <c r="K7" s="117"/>
      <c r="L7" s="117"/>
      <c r="M7" s="117"/>
      <c r="N7" s="117"/>
      <c r="O7" s="117"/>
      <c r="P7" s="2"/>
      <c r="Q7" s="2"/>
      <c r="R7" s="106"/>
      <c r="S7" s="106"/>
      <c r="T7" s="106"/>
      <c r="U7" s="106"/>
      <c r="V7" s="106"/>
      <c r="W7" s="106"/>
      <c r="X7" s="106"/>
      <c r="Y7" s="106"/>
      <c r="Z7" s="2"/>
      <c r="AA7" s="2"/>
      <c r="AB7" s="2"/>
    </row>
    <row r="8" spans="1:28" ht="15.75" x14ac:dyDescent="0.25">
      <c r="C8" s="130"/>
      <c r="D8" s="114" t="s">
        <v>149</v>
      </c>
      <c r="E8" s="2" t="s">
        <v>176</v>
      </c>
      <c r="F8" s="2"/>
      <c r="H8" s="2"/>
      <c r="I8" s="117"/>
      <c r="J8" s="117"/>
      <c r="K8" s="117"/>
      <c r="L8" s="117"/>
      <c r="M8" s="117"/>
      <c r="N8" s="117"/>
      <c r="O8" s="117"/>
      <c r="P8" s="2"/>
      <c r="Q8" s="2"/>
      <c r="R8" s="106"/>
      <c r="S8" s="106"/>
      <c r="T8" s="106"/>
      <c r="U8" s="106"/>
      <c r="V8" s="106"/>
      <c r="W8" s="106"/>
      <c r="X8" s="106"/>
      <c r="Y8" s="106"/>
      <c r="Z8" s="2"/>
      <c r="AA8" s="2"/>
      <c r="AB8" s="2"/>
    </row>
    <row r="9" spans="1:28" ht="15.75" x14ac:dyDescent="0.2">
      <c r="A9" s="112" t="s">
        <v>38</v>
      </c>
      <c r="C9" s="114"/>
      <c r="D9" s="114"/>
      <c r="E9" s="93" t="e">
        <f>LARGE(O30:O250,1)</f>
        <v>#DIV/0!</v>
      </c>
      <c r="F9" s="2"/>
      <c r="H9" s="2"/>
      <c r="I9" s="117"/>
      <c r="J9" s="117"/>
      <c r="K9" s="117"/>
      <c r="L9" s="117"/>
      <c r="M9" s="117"/>
      <c r="N9" s="117"/>
      <c r="O9" s="117"/>
      <c r="P9" s="2"/>
      <c r="Q9" s="2"/>
      <c r="R9" s="106"/>
      <c r="S9" s="106"/>
      <c r="T9" s="106"/>
      <c r="U9" s="106"/>
      <c r="V9" s="106"/>
      <c r="W9" s="106"/>
      <c r="X9" s="106"/>
      <c r="Y9" s="106"/>
      <c r="Z9" s="2"/>
      <c r="AA9" s="2"/>
      <c r="AB9" s="2"/>
    </row>
    <row r="10" spans="1:28" ht="15.75" x14ac:dyDescent="0.2">
      <c r="A10" s="131">
        <f>SUM(G30:G250)</f>
        <v>0</v>
      </c>
      <c r="C10" s="132"/>
      <c r="D10" s="272" t="s">
        <v>190</v>
      </c>
      <c r="E10" s="2" t="s">
        <v>191</v>
      </c>
      <c r="F10" s="2"/>
      <c r="H10" s="2"/>
      <c r="I10" s="117"/>
      <c r="J10" s="117"/>
      <c r="K10" s="117"/>
      <c r="L10" s="117"/>
      <c r="M10" s="117"/>
      <c r="N10" s="117"/>
      <c r="O10" s="117"/>
      <c r="P10" s="2"/>
      <c r="Q10" s="2"/>
      <c r="R10" s="106"/>
      <c r="S10" s="106"/>
      <c r="T10" s="106"/>
      <c r="U10" s="106"/>
      <c r="V10" s="106"/>
      <c r="W10" s="106"/>
      <c r="X10" s="106"/>
      <c r="Y10" s="106"/>
      <c r="Z10" s="2"/>
      <c r="AA10" s="2"/>
      <c r="AB10" s="2"/>
    </row>
    <row r="11" spans="1:28" ht="15.75" x14ac:dyDescent="0.25">
      <c r="C11" s="125"/>
      <c r="D11" s="272">
        <v>0</v>
      </c>
      <c r="E11" s="273">
        <v>0</v>
      </c>
      <c r="F11" s="2"/>
      <c r="G11" s="112">
        <f>(((2.095-1)/(11-1))*(513.74-43.91))+43.91</f>
        <v>95.356385000000017</v>
      </c>
      <c r="H11" s="219"/>
      <c r="I11" s="117"/>
      <c r="J11" s="117"/>
      <c r="K11" s="117"/>
      <c r="L11" s="117"/>
      <c r="M11" s="117"/>
      <c r="N11" s="117"/>
      <c r="O11" s="117"/>
      <c r="P11" s="2"/>
      <c r="Q11" s="2"/>
      <c r="R11" s="106"/>
      <c r="S11" s="106"/>
      <c r="T11" s="106"/>
      <c r="U11" s="106"/>
      <c r="V11" s="106"/>
      <c r="W11" s="106"/>
      <c r="X11" s="106"/>
      <c r="Y11" s="106"/>
      <c r="Z11" s="2"/>
      <c r="AA11" s="2"/>
      <c r="AB11" s="2"/>
    </row>
    <row r="12" spans="1:28" ht="15.75" x14ac:dyDescent="0.25">
      <c r="A12" s="112" t="s">
        <v>39</v>
      </c>
      <c r="C12" s="125"/>
      <c r="D12" s="122"/>
      <c r="E12" s="2"/>
      <c r="F12" s="2"/>
      <c r="H12" s="2"/>
      <c r="I12" s="117"/>
      <c r="J12" s="117"/>
      <c r="K12" s="117"/>
      <c r="L12" s="117"/>
      <c r="M12" s="117"/>
      <c r="N12" s="117"/>
      <c r="O12" s="117"/>
      <c r="P12" s="2"/>
      <c r="Q12" s="2"/>
      <c r="R12" s="106"/>
      <c r="S12" s="106"/>
      <c r="T12" s="106"/>
      <c r="U12" s="106"/>
      <c r="V12" s="106"/>
      <c r="W12" s="106"/>
      <c r="X12" s="106"/>
      <c r="Y12" s="106"/>
      <c r="Z12" s="2"/>
      <c r="AA12" s="2"/>
      <c r="AB12" s="2"/>
    </row>
    <row r="13" spans="1:28" ht="15.75" x14ac:dyDescent="0.25">
      <c r="A13" s="112">
        <f>SUMIF(N31:N250, "&gt;0")</f>
        <v>0</v>
      </c>
      <c r="C13" s="125"/>
      <c r="D13" s="122"/>
      <c r="E13" s="2"/>
      <c r="F13" s="2"/>
      <c r="G13" s="2"/>
      <c r="H13" s="2"/>
      <c r="I13" s="117"/>
      <c r="J13" s="117"/>
      <c r="K13" s="117"/>
      <c r="L13" s="117"/>
      <c r="M13" s="117"/>
      <c r="N13" s="117"/>
      <c r="O13" s="117"/>
      <c r="P13" s="2"/>
      <c r="Q13" s="2"/>
      <c r="R13" s="106"/>
      <c r="S13" s="106"/>
      <c r="T13" s="106"/>
      <c r="U13" s="106"/>
      <c r="V13" s="106"/>
      <c r="W13" s="106"/>
      <c r="X13" s="106"/>
      <c r="Y13" s="106"/>
      <c r="Z13" s="2"/>
      <c r="AA13" s="2"/>
      <c r="AB13" s="2"/>
    </row>
    <row r="14" spans="1:28" ht="30.75" thickBot="1" x14ac:dyDescent="0.45">
      <c r="A14" s="112" t="s">
        <v>119</v>
      </c>
      <c r="C14" s="125"/>
      <c r="D14" s="112" t="s">
        <v>131</v>
      </c>
      <c r="F14" s="2"/>
      <c r="G14" s="2"/>
      <c r="H14" s="2"/>
      <c r="I14" s="117"/>
      <c r="J14" s="117"/>
      <c r="K14" s="117"/>
      <c r="L14" s="117"/>
      <c r="M14" s="117"/>
      <c r="N14" s="117"/>
      <c r="O14" s="117"/>
      <c r="P14" s="2"/>
      <c r="Q14" s="2"/>
      <c r="R14" s="106"/>
      <c r="S14" s="106"/>
      <c r="T14" s="106"/>
      <c r="U14" s="106"/>
      <c r="V14" s="106"/>
      <c r="W14" s="106"/>
      <c r="X14" s="106"/>
      <c r="Y14" s="106"/>
      <c r="Z14" s="2"/>
      <c r="AA14" s="2"/>
      <c r="AB14" s="133" t="s">
        <v>114</v>
      </c>
    </row>
    <row r="15" spans="1:28" ht="30" x14ac:dyDescent="0.4">
      <c r="A15" s="120" t="s">
        <v>135</v>
      </c>
      <c r="B15" s="121">
        <f>(SUMIF(Q30:Q250, "&gt;0")+SUMIF(Q30:Q250, "&lt;0"))/100</f>
        <v>0</v>
      </c>
      <c r="C15" s="125"/>
      <c r="D15" s="120" t="s">
        <v>40</v>
      </c>
      <c r="E15" s="121">
        <f>10^((SUMIF(V30:V250, "&gt;0")+SUMIF(V30:V250, "&lt;0"))/100)</f>
        <v>1</v>
      </c>
      <c r="F15" s="2"/>
      <c r="G15" s="2"/>
      <c r="H15" s="96"/>
      <c r="I15" s="117"/>
      <c r="J15" s="117"/>
      <c r="K15" s="117"/>
      <c r="L15" s="117"/>
      <c r="M15" s="117"/>
      <c r="N15" s="117"/>
      <c r="O15" s="117"/>
      <c r="P15" s="2"/>
      <c r="Q15" s="2"/>
      <c r="R15" s="106"/>
      <c r="S15" s="106"/>
      <c r="T15" s="106"/>
      <c r="U15" s="106"/>
      <c r="V15" s="106"/>
      <c r="W15" s="106"/>
      <c r="X15" s="106"/>
      <c r="Y15" s="106"/>
      <c r="Z15" s="2"/>
      <c r="AA15" s="2"/>
      <c r="AB15" s="133" t="s">
        <v>116</v>
      </c>
    </row>
    <row r="16" spans="1:28" ht="15.75" x14ac:dyDescent="0.25">
      <c r="A16" s="123" t="s">
        <v>136</v>
      </c>
      <c r="B16" s="124">
        <f>SQRT((SUMIF(R30:R250, "&gt;0")+SUMIF(R30:R250, "&lt;0"))/100)</f>
        <v>0</v>
      </c>
      <c r="C16" s="125"/>
      <c r="D16" s="123" t="s">
        <v>41</v>
      </c>
      <c r="E16" s="124">
        <f>10^(SQRT((SUMIF(W30:W250, "&gt;0")+SUMIF(W30:W250, "&lt;0"))/100))</f>
        <v>1</v>
      </c>
      <c r="G16" s="2"/>
      <c r="H16" s="96"/>
      <c r="I16" s="117"/>
      <c r="J16" s="117"/>
      <c r="K16" s="117"/>
      <c r="L16" s="117"/>
      <c r="M16" s="117"/>
      <c r="N16" s="117"/>
      <c r="O16" s="117"/>
      <c r="P16" s="2"/>
      <c r="Q16" s="2"/>
      <c r="R16" s="106"/>
      <c r="S16" s="106"/>
      <c r="T16" s="106"/>
      <c r="U16" s="106"/>
      <c r="V16" s="106"/>
      <c r="W16" s="106"/>
      <c r="X16" s="106"/>
      <c r="Y16" s="106"/>
      <c r="Z16" s="2"/>
      <c r="AA16" s="2"/>
      <c r="AB16" s="2"/>
    </row>
    <row r="17" spans="1:78" ht="15" customHeight="1" x14ac:dyDescent="0.25">
      <c r="A17" s="123" t="s">
        <v>137</v>
      </c>
      <c r="B17" s="124" t="e">
        <f>(SUMIF(S30:S250, "&gt;0")+SUMIF(S30:S250, "&lt;0"))/((100)*(B16)^3)</f>
        <v>#DIV/0!</v>
      </c>
      <c r="C17" s="134"/>
      <c r="D17" s="123" t="s">
        <v>42</v>
      </c>
      <c r="E17" s="124" t="e">
        <f>(SUMIF(X30:X250, "&gt;0")+SUMIF(X30:X250, "&lt;0"))/((100)*(LOG(E16))^3)</f>
        <v>#DIV/0!</v>
      </c>
      <c r="G17" s="2"/>
      <c r="H17" s="96"/>
      <c r="I17" s="117"/>
      <c r="J17" s="117"/>
      <c r="K17" s="117"/>
      <c r="L17" s="117"/>
      <c r="M17" s="117"/>
      <c r="N17" s="117"/>
      <c r="O17" s="117"/>
      <c r="P17" s="2"/>
      <c r="Q17" s="2"/>
      <c r="R17" s="106"/>
      <c r="S17" s="106"/>
      <c r="T17" s="106"/>
      <c r="U17" s="106"/>
      <c r="V17" s="106"/>
      <c r="W17" s="106"/>
      <c r="X17" s="106"/>
      <c r="Y17" s="106"/>
      <c r="Z17" s="2"/>
      <c r="AA17" s="2"/>
      <c r="AB17" s="2"/>
    </row>
    <row r="18" spans="1:78" ht="22.5" customHeight="1" x14ac:dyDescent="0.35">
      <c r="A18" s="123" t="s">
        <v>138</v>
      </c>
      <c r="B18" s="124" t="e">
        <f>(SUMIF(T30:T250, "&gt;0")+SUMIF(T30:T250, "&lt;0"))/((100)*(B16)^4)</f>
        <v>#DIV/0!</v>
      </c>
      <c r="D18" s="123" t="s">
        <v>43</v>
      </c>
      <c r="E18" s="124" t="e">
        <f>(SUMIF(Y30:Y250, "&gt;0")+SUMIF(Y30:Y250, "&lt;0"))/((100)*(LOG(E16))^4)</f>
        <v>#DIV/0!</v>
      </c>
      <c r="F18" s="135"/>
      <c r="G18" s="2"/>
      <c r="H18" s="96"/>
      <c r="I18" s="93"/>
      <c r="J18" s="93"/>
      <c r="K18" s="93"/>
      <c r="L18" s="93"/>
      <c r="N18" s="136"/>
      <c r="O18" s="93"/>
      <c r="P18" s="2"/>
      <c r="Q18" s="2"/>
      <c r="R18" s="5"/>
      <c r="S18" s="2"/>
      <c r="T18" s="7"/>
      <c r="U18" s="16"/>
      <c r="V18" s="7"/>
      <c r="W18" s="137"/>
      <c r="X18" s="138"/>
      <c r="Y18" s="2"/>
      <c r="Z18" s="2"/>
      <c r="AA18" s="2"/>
      <c r="AB18" s="139" t="s">
        <v>115</v>
      </c>
      <c r="AC18" s="140"/>
      <c r="AD18" s="141"/>
      <c r="AE18" s="142"/>
      <c r="BL18" s="326">
        <v>1</v>
      </c>
      <c r="BM18" s="326"/>
      <c r="BN18" s="326"/>
      <c r="BO18" s="326"/>
      <c r="BP18" s="326"/>
      <c r="BQ18" s="326"/>
      <c r="BR18" s="326"/>
      <c r="BS18" s="326"/>
      <c r="BT18" s="326"/>
      <c r="BU18" s="326"/>
      <c r="BV18" s="326"/>
    </row>
    <row r="19" spans="1:78" ht="15" customHeight="1" thickBot="1" x14ac:dyDescent="0.3">
      <c r="A19" s="127" t="s">
        <v>139</v>
      </c>
      <c r="B19" s="143" t="e">
        <f>B18-3</f>
        <v>#DIV/0!</v>
      </c>
      <c r="C19" s="144"/>
      <c r="D19" s="127" t="s">
        <v>44</v>
      </c>
      <c r="E19" s="143" t="e">
        <f>E18-3</f>
        <v>#DIV/0!</v>
      </c>
      <c r="F19" s="145"/>
      <c r="G19" s="2"/>
      <c r="H19" s="223"/>
      <c r="I19" s="96"/>
      <c r="J19" s="96"/>
      <c r="K19" s="96"/>
      <c r="L19" s="96"/>
      <c r="N19" s="96"/>
      <c r="O19" s="96"/>
      <c r="P19" s="146"/>
      <c r="Q19" s="2"/>
      <c r="R19" s="147"/>
      <c r="S19" s="148"/>
      <c r="T19" s="149"/>
      <c r="U19" s="5"/>
      <c r="V19" s="5"/>
      <c r="W19" s="5"/>
      <c r="X19" s="2"/>
      <c r="Y19" s="2"/>
      <c r="Z19" s="2"/>
      <c r="AA19" s="2"/>
      <c r="AB19" s="2"/>
    </row>
    <row r="20" spans="1:78" ht="15" x14ac:dyDescent="0.2">
      <c r="A20" s="150"/>
      <c r="B20" s="150"/>
      <c r="C20" s="151"/>
      <c r="D20" s="145"/>
      <c r="E20" s="152"/>
      <c r="F20" s="153"/>
      <c r="H20" s="2"/>
      <c r="I20" s="2"/>
      <c r="J20" s="2"/>
      <c r="K20" s="2"/>
      <c r="L20" s="2"/>
      <c r="M20" s="2"/>
      <c r="N20" s="2"/>
      <c r="O20" s="2"/>
      <c r="P20" s="2"/>
      <c r="Q20" s="2"/>
      <c r="R20" s="5"/>
      <c r="S20" s="7"/>
      <c r="T20" s="154"/>
      <c r="U20" s="5"/>
      <c r="V20" s="5"/>
      <c r="W20" s="2"/>
      <c r="X20" s="7"/>
      <c r="Y20" s="155"/>
      <c r="Z20" s="2"/>
      <c r="AA20" s="2"/>
      <c r="AB20" s="327">
        <v>0</v>
      </c>
      <c r="AC20" s="327"/>
      <c r="AD20" s="327"/>
      <c r="AE20" s="327"/>
      <c r="AF20" s="327"/>
      <c r="BV20" s="325">
        <v>1</v>
      </c>
      <c r="BW20" s="325"/>
      <c r="BX20" s="325"/>
      <c r="BY20" s="325"/>
      <c r="BZ20" s="325"/>
    </row>
    <row r="21" spans="1:78" ht="8.25" customHeight="1" thickBot="1" x14ac:dyDescent="0.25">
      <c r="A21" s="145"/>
      <c r="B21" s="145"/>
      <c r="C21" s="156"/>
      <c r="D21" s="145"/>
      <c r="E21" s="152"/>
      <c r="F21" s="157"/>
      <c r="H21" s="2"/>
      <c r="I21" s="2"/>
      <c r="J21" s="2"/>
      <c r="K21" s="2"/>
      <c r="L21" s="2"/>
      <c r="M21" s="2"/>
      <c r="N21" s="2"/>
      <c r="O21" s="2"/>
      <c r="P21" s="2"/>
      <c r="Q21" s="2"/>
      <c r="R21" s="5"/>
      <c r="S21" s="7"/>
      <c r="T21" s="158"/>
      <c r="U21" s="5"/>
      <c r="V21" s="5"/>
      <c r="W21" s="2"/>
      <c r="X21" s="7"/>
      <c r="Y21" s="155"/>
      <c r="Z21" s="2"/>
      <c r="AA21" s="2"/>
      <c r="AB21" s="2"/>
    </row>
    <row r="22" spans="1:78" ht="18" customHeight="1" thickBot="1" x14ac:dyDescent="0.25">
      <c r="B22" s="145"/>
      <c r="C22" s="156"/>
      <c r="E22" s="152"/>
      <c r="F22" s="159"/>
      <c r="H22" s="2"/>
      <c r="I22" s="2"/>
      <c r="J22" s="2"/>
      <c r="K22" s="2"/>
      <c r="L22" s="2"/>
      <c r="M22" s="2"/>
      <c r="N22" s="2"/>
      <c r="O22" s="2"/>
      <c r="P22" s="2"/>
      <c r="Q22" s="2"/>
      <c r="R22" s="5"/>
      <c r="S22" s="7"/>
      <c r="T22" s="158"/>
      <c r="U22" s="5"/>
      <c r="V22" s="5"/>
      <c r="W22" s="2"/>
      <c r="X22" s="7"/>
      <c r="Y22" s="155"/>
      <c r="Z22" s="2"/>
      <c r="AA22" s="2"/>
      <c r="AB22" s="282"/>
      <c r="AC22" s="283"/>
      <c r="AD22" s="283"/>
      <c r="AE22" s="283"/>
      <c r="AF22" s="283"/>
      <c r="AG22" s="283"/>
      <c r="AH22" s="283"/>
      <c r="AI22" s="283"/>
      <c r="AJ22" s="283"/>
      <c r="AK22" s="283"/>
      <c r="AL22" s="283"/>
      <c r="AM22" s="283"/>
      <c r="AN22" s="283"/>
      <c r="AO22" s="283"/>
      <c r="AP22" s="283"/>
      <c r="AQ22" s="283"/>
      <c r="AR22" s="283"/>
      <c r="AS22" s="283"/>
      <c r="AT22" s="283"/>
      <c r="AU22" s="283"/>
      <c r="AV22" s="283"/>
      <c r="AW22" s="283"/>
      <c r="AX22" s="283"/>
      <c r="AY22" s="283"/>
      <c r="AZ22" s="283"/>
      <c r="BA22" s="210"/>
      <c r="BB22" s="210"/>
      <c r="BC22" s="210"/>
      <c r="BD22" s="210"/>
      <c r="BE22" s="210"/>
      <c r="BF22" s="210"/>
      <c r="BG22" s="210"/>
      <c r="BH22" s="210"/>
      <c r="BI22" s="210"/>
      <c r="BJ22" s="210"/>
      <c r="BK22" s="210"/>
      <c r="BL22" s="210"/>
      <c r="BM22" s="210"/>
      <c r="BN22" s="210"/>
      <c r="BO22" s="210"/>
      <c r="BP22" s="210"/>
      <c r="BQ22" s="210"/>
      <c r="BR22" s="210"/>
      <c r="BS22" s="210"/>
      <c r="BT22" s="210"/>
      <c r="BU22" s="210"/>
      <c r="BV22" s="210"/>
      <c r="BW22" s="210"/>
      <c r="BX22" s="210"/>
      <c r="BY22" s="160"/>
    </row>
    <row r="23" spans="1:78" ht="14.25" customHeight="1" x14ac:dyDescent="0.2">
      <c r="M23" s="2"/>
      <c r="N23" s="2"/>
      <c r="O23" s="2"/>
      <c r="P23" s="2"/>
      <c r="Q23" s="2"/>
      <c r="R23" s="5"/>
      <c r="S23" s="5"/>
      <c r="T23" s="5"/>
      <c r="U23" s="5"/>
      <c r="V23" s="5"/>
      <c r="W23" s="5"/>
      <c r="X23" s="5"/>
      <c r="Y23" s="154"/>
      <c r="Z23" s="2"/>
    </row>
    <row r="24" spans="1:78" x14ac:dyDescent="0.2">
      <c r="A24" s="161"/>
      <c r="B24" s="1"/>
      <c r="C24" s="162"/>
      <c r="D24" s="163"/>
      <c r="E24" s="161"/>
      <c r="F24" s="163"/>
      <c r="G24" s="161"/>
      <c r="H24" s="161"/>
      <c r="I24" s="164" t="s">
        <v>45</v>
      </c>
      <c r="J24" s="165"/>
      <c r="K24" s="165"/>
      <c r="L24" s="166"/>
      <c r="M24" s="1"/>
      <c r="N24" s="167"/>
      <c r="O24" s="1"/>
      <c r="P24" s="2"/>
      <c r="Q24" s="164" t="s">
        <v>45</v>
      </c>
      <c r="R24" s="165"/>
      <c r="S24" s="165"/>
      <c r="T24" s="166"/>
      <c r="U24" s="331" t="s">
        <v>45</v>
      </c>
      <c r="V24" s="332"/>
      <c r="W24" s="332"/>
      <c r="X24" s="332"/>
      <c r="Y24" s="333"/>
      <c r="Z24" s="2"/>
    </row>
    <row r="25" spans="1:78" ht="15.75" customHeight="1" x14ac:dyDescent="0.2">
      <c r="A25" s="168" t="s">
        <v>46</v>
      </c>
      <c r="B25" s="169" t="s">
        <v>122</v>
      </c>
      <c r="C25" s="169" t="s">
        <v>46</v>
      </c>
      <c r="D25" s="169" t="s">
        <v>122</v>
      </c>
      <c r="E25" s="168" t="s">
        <v>47</v>
      </c>
      <c r="F25" s="168" t="s">
        <v>48</v>
      </c>
      <c r="G25" s="168" t="s">
        <v>48</v>
      </c>
      <c r="H25" s="168" t="s">
        <v>46</v>
      </c>
      <c r="I25" s="328" t="s">
        <v>121</v>
      </c>
      <c r="J25" s="329"/>
      <c r="K25" s="329"/>
      <c r="L25" s="330"/>
      <c r="M25" s="169" t="s">
        <v>122</v>
      </c>
      <c r="N25" s="170" t="s">
        <v>49</v>
      </c>
      <c r="O25" s="171"/>
      <c r="P25" s="2"/>
      <c r="Q25" s="328" t="s">
        <v>128</v>
      </c>
      <c r="R25" s="329"/>
      <c r="S25" s="329"/>
      <c r="T25" s="330"/>
      <c r="U25" s="328" t="s">
        <v>142</v>
      </c>
      <c r="V25" s="329"/>
      <c r="W25" s="329"/>
      <c r="X25" s="329"/>
      <c r="Y25" s="330"/>
      <c r="Z25" s="2"/>
      <c r="AB25" s="172"/>
    </row>
    <row r="26" spans="1:78" ht="13.5" customHeight="1" x14ac:dyDescent="0.2">
      <c r="A26" s="168" t="s">
        <v>50</v>
      </c>
      <c r="B26" s="169" t="s">
        <v>50</v>
      </c>
      <c r="C26" s="169" t="s">
        <v>51</v>
      </c>
      <c r="D26" s="115" t="s">
        <v>51</v>
      </c>
      <c r="E26" s="168" t="s">
        <v>52</v>
      </c>
      <c r="F26" s="168" t="s">
        <v>123</v>
      </c>
      <c r="G26" s="168" t="s">
        <v>53</v>
      </c>
      <c r="H26" s="168" t="s">
        <v>50</v>
      </c>
      <c r="I26" s="173"/>
      <c r="J26" s="174"/>
      <c r="K26" s="175"/>
      <c r="L26" s="176"/>
      <c r="M26" s="169" t="s">
        <v>50</v>
      </c>
      <c r="N26" s="170" t="s">
        <v>54</v>
      </c>
      <c r="O26" s="171"/>
      <c r="P26" s="175"/>
      <c r="Q26" s="173"/>
      <c r="R26" s="5"/>
      <c r="S26" s="7"/>
      <c r="T26" s="177"/>
      <c r="U26" s="178"/>
      <c r="V26" s="179"/>
      <c r="W26" s="179"/>
      <c r="X26" s="7"/>
      <c r="Y26" s="180"/>
      <c r="Z26" s="2"/>
      <c r="AB26" s="181"/>
    </row>
    <row r="27" spans="1:78" ht="13.5" customHeight="1" x14ac:dyDescent="0.2">
      <c r="A27" s="176"/>
      <c r="B27" s="176"/>
      <c r="C27" s="176"/>
      <c r="D27" s="176"/>
      <c r="E27" s="176"/>
      <c r="F27" s="176"/>
      <c r="G27" s="168"/>
      <c r="H27" s="176"/>
      <c r="I27" s="173"/>
      <c r="J27" s="2"/>
      <c r="K27" s="2"/>
      <c r="L27" s="176"/>
      <c r="M27" s="176"/>
      <c r="N27" s="182"/>
      <c r="O27" s="183"/>
      <c r="P27" s="2"/>
      <c r="Q27" s="173"/>
      <c r="R27" s="5"/>
      <c r="S27" s="7"/>
      <c r="T27" s="177"/>
      <c r="U27" s="178"/>
      <c r="V27" s="179"/>
      <c r="W27" s="179"/>
      <c r="X27" s="7"/>
      <c r="Y27" s="180"/>
      <c r="Z27" s="2"/>
    </row>
    <row r="28" spans="1:78" ht="14.25" x14ac:dyDescent="0.2">
      <c r="A28" s="168" t="s">
        <v>8</v>
      </c>
      <c r="B28" s="169" t="s">
        <v>8</v>
      </c>
      <c r="C28" s="169" t="s">
        <v>55</v>
      </c>
      <c r="D28" s="169" t="s">
        <v>55</v>
      </c>
      <c r="E28" s="168" t="s">
        <v>56</v>
      </c>
      <c r="F28" s="168" t="s">
        <v>56</v>
      </c>
      <c r="G28" s="168" t="s">
        <v>57</v>
      </c>
      <c r="H28" s="168" t="s">
        <v>148</v>
      </c>
      <c r="I28" s="184" t="s">
        <v>124</v>
      </c>
      <c r="J28" s="93" t="s">
        <v>125</v>
      </c>
      <c r="K28" s="93" t="s">
        <v>127</v>
      </c>
      <c r="L28" s="169" t="s">
        <v>126</v>
      </c>
      <c r="M28" s="169" t="s">
        <v>148</v>
      </c>
      <c r="N28" s="185" t="s">
        <v>58</v>
      </c>
      <c r="O28" s="186" t="s">
        <v>56</v>
      </c>
      <c r="P28" s="93"/>
      <c r="Q28" s="184" t="s">
        <v>124</v>
      </c>
      <c r="R28" s="93" t="s">
        <v>125</v>
      </c>
      <c r="S28" s="93" t="s">
        <v>127</v>
      </c>
      <c r="T28" s="169" t="s">
        <v>126</v>
      </c>
      <c r="U28" s="178" t="s">
        <v>129</v>
      </c>
      <c r="V28" s="187" t="s">
        <v>130</v>
      </c>
      <c r="W28" s="93" t="s">
        <v>143</v>
      </c>
      <c r="X28" s="93" t="s">
        <v>144</v>
      </c>
      <c r="Y28" s="183" t="s">
        <v>145</v>
      </c>
      <c r="Z28" s="2"/>
    </row>
    <row r="29" spans="1:78" x14ac:dyDescent="0.2">
      <c r="A29" s="188"/>
      <c r="B29" s="189"/>
      <c r="C29" s="190"/>
      <c r="D29" s="191"/>
      <c r="E29" s="192"/>
      <c r="F29" s="192"/>
      <c r="G29" s="193"/>
      <c r="H29" s="188"/>
      <c r="I29" s="194"/>
      <c r="J29" s="195"/>
      <c r="K29" s="195"/>
      <c r="L29" s="189"/>
      <c r="M29" s="189"/>
      <c r="N29" s="191"/>
      <c r="O29" s="196"/>
      <c r="P29" s="2"/>
      <c r="Q29" s="193"/>
      <c r="R29" s="193"/>
      <c r="S29" s="193"/>
      <c r="T29" s="193"/>
      <c r="U29" s="197"/>
      <c r="V29" s="198"/>
      <c r="W29" s="198"/>
      <c r="X29" s="199"/>
      <c r="Y29" s="200"/>
      <c r="Z29" s="2"/>
    </row>
    <row r="30" spans="1:78" x14ac:dyDescent="0.2">
      <c r="A30" s="201">
        <v>90</v>
      </c>
      <c r="B30" s="201"/>
      <c r="C30" s="14">
        <f>IF(A30=0,IF(B30&gt;0,IF(C29&lt;10,10,-LOG(0,2)),-LOG(0,2)),-LOG(A30,2))</f>
        <v>-6.4918530963296748</v>
      </c>
      <c r="D30" s="202"/>
      <c r="E30" s="203" t="e">
        <f>F30</f>
        <v>#DIV/0!</v>
      </c>
      <c r="F30" s="201" t="e">
        <f>(G30*100)/$A$10</f>
        <v>#DIV/0!</v>
      </c>
      <c r="G30" s="201"/>
      <c r="H30" s="207">
        <f>A30*1000</f>
        <v>90000</v>
      </c>
      <c r="I30" s="201" t="e">
        <f t="shared" ref="I30:I93" si="0">D30*F30</f>
        <v>#DIV/0!</v>
      </c>
      <c r="J30" s="204" t="e">
        <f>(F30)*(D30-$B$4)^2</f>
        <v>#DIV/0!</v>
      </c>
      <c r="K30" s="204" t="e">
        <f>(F30)*(D30-$B$4)^3</f>
        <v>#DIV/0!</v>
      </c>
      <c r="L30" s="204" t="e">
        <f>(F30)*(D30-$B$4)^4</f>
        <v>#DIV/0!</v>
      </c>
      <c r="M30" s="277"/>
      <c r="N30" s="201"/>
      <c r="O30" s="205"/>
      <c r="P30" s="2"/>
      <c r="Q30" s="201" t="e">
        <f>(B30*1000)*F30</f>
        <v>#DIV/0!</v>
      </c>
      <c r="R30" s="204" t="e">
        <f>(F30)*((B30*1000)-$B$15)^2</f>
        <v>#DIV/0!</v>
      </c>
      <c r="S30" s="204" t="e">
        <f>(F30)*((B30*1000)-$B$15)^3</f>
        <v>#DIV/0!</v>
      </c>
      <c r="T30" s="204" t="e">
        <f>(F30)*((B30*1000)-$B$15)^4</f>
        <v>#DIV/0!</v>
      </c>
      <c r="U30" s="105"/>
      <c r="V30" s="187" t="e">
        <f>U30*F30</f>
        <v>#DIV/0!</v>
      </c>
      <c r="W30" s="206" t="e">
        <f>(F30)*(U30-LOG($E$15))^2</f>
        <v>#DIV/0!</v>
      </c>
      <c r="X30" s="206" t="e">
        <f>(F30)*(U30-LOG($E$15))^3</f>
        <v>#DIV/0!</v>
      </c>
      <c r="Y30" s="206" t="e">
        <f>(F30)*(U30-LOG($E$15))^4</f>
        <v>#DIV/0!</v>
      </c>
      <c r="Z30" s="2"/>
    </row>
    <row r="31" spans="1:78" ht="12.75" customHeight="1" x14ac:dyDescent="0.2">
      <c r="A31" s="201">
        <v>63</v>
      </c>
      <c r="B31" s="201">
        <f>(A30+A31)/2</f>
        <v>76.5</v>
      </c>
      <c r="C31" s="14">
        <f t="shared" ref="C31:C94" si="1">IF(A31=0,IF(B31&gt;0,IF(C30&lt;10,10,-LOG(0,2)),-LOG(0,2)),-LOG(A31,2))</f>
        <v>-5.9772799234999168</v>
      </c>
      <c r="D31" s="202">
        <f t="shared" ref="D31:D48" si="2">(C30+C31)/2</f>
        <v>-6.2345665099147958</v>
      </c>
      <c r="E31" s="203" t="e">
        <f>F31+E30</f>
        <v>#DIV/0!</v>
      </c>
      <c r="F31" s="201" t="e">
        <f t="shared" ref="F31:F94" si="3">(G31*100)/$A$10</f>
        <v>#DIV/0!</v>
      </c>
      <c r="G31" s="201"/>
      <c r="H31" s="207">
        <f t="shared" ref="H31:H94" si="4">A31*1000</f>
        <v>63000</v>
      </c>
      <c r="I31" s="201" t="e">
        <f t="shared" si="0"/>
        <v>#DIV/0!</v>
      </c>
      <c r="J31" s="204" t="e">
        <f t="shared" ref="J31:J94" si="5">(F31)*(D31-$B$4)^2</f>
        <v>#DIV/0!</v>
      </c>
      <c r="K31" s="204" t="e">
        <f t="shared" ref="K31:K94" si="6">(F31)*(D31-$B$4)^3</f>
        <v>#DIV/0!</v>
      </c>
      <c r="L31" s="204" t="e">
        <f t="shared" ref="L31:L94" si="7">(F31)*(D31-$B$4)^4</f>
        <v>#DIV/0!</v>
      </c>
      <c r="M31" s="277">
        <f>((2^(-D31))*1000)</f>
        <v>75299.402388066825</v>
      </c>
      <c r="N31" s="201"/>
      <c r="O31" s="205" t="e">
        <f>(N31*100)/$A$13</f>
        <v>#DIV/0!</v>
      </c>
      <c r="P31" s="146"/>
      <c r="Q31" s="201" t="e">
        <f t="shared" ref="Q31:Q94" si="8">(B31*1000)*F31</f>
        <v>#DIV/0!</v>
      </c>
      <c r="R31" s="204" t="e">
        <f t="shared" ref="R31:R94" si="9">(F31)*((B31*1000)-$B$15)^2</f>
        <v>#DIV/0!</v>
      </c>
      <c r="S31" s="204" t="e">
        <f t="shared" ref="S31:S94" si="10">(F31)*((B31*1000)-$B$15)^3</f>
        <v>#DIV/0!</v>
      </c>
      <c r="T31" s="204" t="e">
        <f t="shared" ref="T31:T94" si="11">(F31)*((B31*1000)-$B$15)^4</f>
        <v>#DIV/0!</v>
      </c>
      <c r="U31" s="105">
        <f t="shared" ref="U31:U94" si="12">LOG(((2^(-D31))*1000),10)</f>
        <v>4.8767915294464528</v>
      </c>
      <c r="V31" s="187" t="e">
        <f t="shared" ref="V31:V94" si="13">U31*F31</f>
        <v>#DIV/0!</v>
      </c>
      <c r="W31" s="204" t="e">
        <f t="shared" ref="W31:W94" si="14">(F31)*(U31-LOG($E$15))^2</f>
        <v>#DIV/0!</v>
      </c>
      <c r="X31" s="204" t="e">
        <f t="shared" ref="X31:X94" si="15">(F31)*(U31-LOG($E$15))^3</f>
        <v>#DIV/0!</v>
      </c>
      <c r="Y31" s="204" t="e">
        <f t="shared" ref="Y31:Y94" si="16">(F31)*(U31-LOG($E$15))^4</f>
        <v>#DIV/0!</v>
      </c>
      <c r="Z31" s="2"/>
    </row>
    <row r="32" spans="1:78" x14ac:dyDescent="0.2">
      <c r="A32" s="201">
        <v>45</v>
      </c>
      <c r="B32" s="14">
        <f>IF(A32=0,IF(A31&gt;0,IF(B31&gt;0.001,((A31+(2^(-10)))/2),0),0),(A31+A32)/2)</f>
        <v>54</v>
      </c>
      <c r="C32" s="14">
        <f t="shared" si="1"/>
        <v>-5.4918530963296748</v>
      </c>
      <c r="D32" s="202">
        <f t="shared" si="2"/>
        <v>-5.7345665099147958</v>
      </c>
      <c r="E32" s="203" t="e">
        <f t="shared" ref="E32:E95" si="17">F32+E31</f>
        <v>#DIV/0!</v>
      </c>
      <c r="F32" s="201" t="e">
        <f t="shared" si="3"/>
        <v>#DIV/0!</v>
      </c>
      <c r="G32" s="201"/>
      <c r="H32" s="207">
        <f t="shared" si="4"/>
        <v>45000</v>
      </c>
      <c r="I32" s="201" t="e">
        <f t="shared" si="0"/>
        <v>#DIV/0!</v>
      </c>
      <c r="J32" s="204" t="e">
        <f t="shared" si="5"/>
        <v>#DIV/0!</v>
      </c>
      <c r="K32" s="204" t="e">
        <f t="shared" si="6"/>
        <v>#DIV/0!</v>
      </c>
      <c r="L32" s="204" t="e">
        <f t="shared" si="7"/>
        <v>#DIV/0!</v>
      </c>
      <c r="M32" s="277">
        <f t="shared" ref="M32:M95" si="18">((2^(-D32))*1000)</f>
        <v>53244.718047896538</v>
      </c>
      <c r="N32" s="201"/>
      <c r="O32" s="205" t="e">
        <f t="shared" ref="O32:O95" si="19">(N32*100)/$A$13</f>
        <v>#DIV/0!</v>
      </c>
      <c r="P32" s="146"/>
      <c r="Q32" s="201" t="e">
        <f t="shared" si="8"/>
        <v>#DIV/0!</v>
      </c>
      <c r="R32" s="204" t="e">
        <f t="shared" si="9"/>
        <v>#DIV/0!</v>
      </c>
      <c r="S32" s="204" t="e">
        <f t="shared" si="10"/>
        <v>#DIV/0!</v>
      </c>
      <c r="T32" s="204" t="e">
        <f t="shared" si="11"/>
        <v>#DIV/0!</v>
      </c>
      <c r="U32" s="105">
        <f t="shared" si="12"/>
        <v>4.7262765316144622</v>
      </c>
      <c r="V32" s="187" t="e">
        <f t="shared" si="13"/>
        <v>#DIV/0!</v>
      </c>
      <c r="W32" s="204" t="e">
        <f t="shared" si="14"/>
        <v>#DIV/0!</v>
      </c>
      <c r="X32" s="204" t="e">
        <f t="shared" si="15"/>
        <v>#DIV/0!</v>
      </c>
      <c r="Y32" s="204" t="e">
        <f t="shared" si="16"/>
        <v>#DIV/0!</v>
      </c>
      <c r="Z32" s="2"/>
    </row>
    <row r="33" spans="1:26" x14ac:dyDescent="0.2">
      <c r="A33" s="201">
        <v>31.5</v>
      </c>
      <c r="B33" s="14">
        <f t="shared" ref="B33:B96" si="20">IF(A33=0,IF(A32&gt;0,IF(B32&gt;0.001,((A32+(2^(-10)))/2),0),0),(A32+A33)/2)</f>
        <v>38.25</v>
      </c>
      <c r="C33" s="14">
        <f t="shared" si="1"/>
        <v>-4.9772799234999168</v>
      </c>
      <c r="D33" s="202">
        <f t="shared" si="2"/>
        <v>-5.2345665099147958</v>
      </c>
      <c r="E33" s="203" t="e">
        <f t="shared" si="17"/>
        <v>#DIV/0!</v>
      </c>
      <c r="F33" s="201" t="e">
        <f t="shared" si="3"/>
        <v>#DIV/0!</v>
      </c>
      <c r="G33" s="201"/>
      <c r="H33" s="207">
        <f t="shared" si="4"/>
        <v>31500</v>
      </c>
      <c r="I33" s="201" t="e">
        <f t="shared" si="0"/>
        <v>#DIV/0!</v>
      </c>
      <c r="J33" s="204" t="e">
        <f t="shared" si="5"/>
        <v>#DIV/0!</v>
      </c>
      <c r="K33" s="204" t="e">
        <f t="shared" si="6"/>
        <v>#DIV/0!</v>
      </c>
      <c r="L33" s="204" t="e">
        <f t="shared" si="7"/>
        <v>#DIV/0!</v>
      </c>
      <c r="M33" s="277">
        <f t="shared" si="18"/>
        <v>37649.70119403339</v>
      </c>
      <c r="N33" s="201"/>
      <c r="O33" s="205" t="e">
        <f t="shared" si="19"/>
        <v>#DIV/0!</v>
      </c>
      <c r="P33" s="146"/>
      <c r="Q33" s="201" t="e">
        <f t="shared" si="8"/>
        <v>#DIV/0!</v>
      </c>
      <c r="R33" s="204" t="e">
        <f t="shared" si="9"/>
        <v>#DIV/0!</v>
      </c>
      <c r="S33" s="204" t="e">
        <f t="shared" si="10"/>
        <v>#DIV/0!</v>
      </c>
      <c r="T33" s="204" t="e">
        <f t="shared" si="11"/>
        <v>#DIV/0!</v>
      </c>
      <c r="U33" s="105">
        <f t="shared" si="12"/>
        <v>4.5757615337824715</v>
      </c>
      <c r="V33" s="187" t="e">
        <f t="shared" si="13"/>
        <v>#DIV/0!</v>
      </c>
      <c r="W33" s="204" t="e">
        <f t="shared" si="14"/>
        <v>#DIV/0!</v>
      </c>
      <c r="X33" s="204" t="e">
        <f t="shared" si="15"/>
        <v>#DIV/0!</v>
      </c>
      <c r="Y33" s="204" t="e">
        <f t="shared" si="16"/>
        <v>#DIV/0!</v>
      </c>
      <c r="Z33" s="2"/>
    </row>
    <row r="34" spans="1:26" ht="13.5" customHeight="1" x14ac:dyDescent="0.2">
      <c r="A34" s="201">
        <v>22.4</v>
      </c>
      <c r="B34" s="14">
        <f t="shared" si="20"/>
        <v>26.95</v>
      </c>
      <c r="C34" s="14">
        <f t="shared" si="1"/>
        <v>-4.485426827170242</v>
      </c>
      <c r="D34" s="202">
        <f t="shared" si="2"/>
        <v>-4.7313533753350789</v>
      </c>
      <c r="E34" s="203" t="e">
        <f t="shared" si="17"/>
        <v>#DIV/0!</v>
      </c>
      <c r="F34" s="201" t="e">
        <f t="shared" si="3"/>
        <v>#DIV/0!</v>
      </c>
      <c r="G34" s="201"/>
      <c r="H34" s="207">
        <f t="shared" si="4"/>
        <v>22400</v>
      </c>
      <c r="I34" s="201" t="e">
        <f t="shared" si="0"/>
        <v>#DIV/0!</v>
      </c>
      <c r="J34" s="204" t="e">
        <f t="shared" si="5"/>
        <v>#DIV/0!</v>
      </c>
      <c r="K34" s="204" t="e">
        <f t="shared" si="6"/>
        <v>#DIV/0!</v>
      </c>
      <c r="L34" s="204" t="e">
        <f t="shared" si="7"/>
        <v>#DIV/0!</v>
      </c>
      <c r="M34" s="277">
        <f t="shared" si="18"/>
        <v>26563.132345414379</v>
      </c>
      <c r="N34" s="201"/>
      <c r="O34" s="205" t="e">
        <f t="shared" si="19"/>
        <v>#DIV/0!</v>
      </c>
      <c r="P34" s="146"/>
      <c r="Q34" s="201" t="e">
        <f t="shared" si="8"/>
        <v>#DIV/0!</v>
      </c>
      <c r="R34" s="204" t="e">
        <f t="shared" si="9"/>
        <v>#DIV/0!</v>
      </c>
      <c r="S34" s="204" t="e">
        <f t="shared" si="10"/>
        <v>#DIV/0!</v>
      </c>
      <c r="T34" s="204" t="e">
        <f t="shared" si="11"/>
        <v>#DIV/0!</v>
      </c>
      <c r="U34" s="105">
        <f t="shared" si="12"/>
        <v>4.4242792860618811</v>
      </c>
      <c r="V34" s="187" t="e">
        <f t="shared" si="13"/>
        <v>#DIV/0!</v>
      </c>
      <c r="W34" s="204" t="e">
        <f t="shared" si="14"/>
        <v>#DIV/0!</v>
      </c>
      <c r="X34" s="204" t="e">
        <f t="shared" si="15"/>
        <v>#DIV/0!</v>
      </c>
      <c r="Y34" s="204" t="e">
        <f t="shared" si="16"/>
        <v>#DIV/0!</v>
      </c>
      <c r="Z34" s="2"/>
    </row>
    <row r="35" spans="1:26" ht="12.75" customHeight="1" x14ac:dyDescent="0.2">
      <c r="A35" s="201">
        <v>16</v>
      </c>
      <c r="B35" s="14">
        <f t="shared" si="20"/>
        <v>19.2</v>
      </c>
      <c r="C35" s="14">
        <f t="shared" si="1"/>
        <v>-4</v>
      </c>
      <c r="D35" s="202">
        <f t="shared" si="2"/>
        <v>-4.242713413585121</v>
      </c>
      <c r="E35" s="203" t="e">
        <f t="shared" si="17"/>
        <v>#DIV/0!</v>
      </c>
      <c r="F35" s="201" t="e">
        <f t="shared" si="3"/>
        <v>#DIV/0!</v>
      </c>
      <c r="G35" s="201"/>
      <c r="H35" s="207">
        <f t="shared" si="4"/>
        <v>16000</v>
      </c>
      <c r="I35" s="201" t="e">
        <f t="shared" si="0"/>
        <v>#DIV/0!</v>
      </c>
      <c r="J35" s="204" t="e">
        <f t="shared" si="5"/>
        <v>#DIV/0!</v>
      </c>
      <c r="K35" s="204" t="e">
        <f t="shared" si="6"/>
        <v>#DIV/0!</v>
      </c>
      <c r="L35" s="204" t="e">
        <f t="shared" si="7"/>
        <v>#DIV/0!</v>
      </c>
      <c r="M35" s="277">
        <f t="shared" si="18"/>
        <v>18931.455305918771</v>
      </c>
      <c r="N35" s="201"/>
      <c r="O35" s="205" t="e">
        <f t="shared" si="19"/>
        <v>#DIV/0!</v>
      </c>
      <c r="P35" s="146"/>
      <c r="Q35" s="201" t="e">
        <f t="shared" si="8"/>
        <v>#DIV/0!</v>
      </c>
      <c r="R35" s="204" t="e">
        <f t="shared" si="9"/>
        <v>#DIV/0!</v>
      </c>
      <c r="S35" s="204" t="e">
        <f t="shared" si="10"/>
        <v>#DIV/0!</v>
      </c>
      <c r="T35" s="204" t="e">
        <f t="shared" si="11"/>
        <v>#DIV/0!</v>
      </c>
      <c r="U35" s="105">
        <f t="shared" si="12"/>
        <v>4.2771840004950432</v>
      </c>
      <c r="V35" s="187" t="e">
        <f t="shared" si="13"/>
        <v>#DIV/0!</v>
      </c>
      <c r="W35" s="204" t="e">
        <f t="shared" si="14"/>
        <v>#DIV/0!</v>
      </c>
      <c r="X35" s="204" t="e">
        <f t="shared" si="15"/>
        <v>#DIV/0!</v>
      </c>
      <c r="Y35" s="204" t="e">
        <f t="shared" si="16"/>
        <v>#DIV/0!</v>
      </c>
      <c r="Z35" s="2"/>
    </row>
    <row r="36" spans="1:26" x14ac:dyDescent="0.2">
      <c r="A36" s="201">
        <v>11.2</v>
      </c>
      <c r="B36" s="14">
        <f t="shared" si="20"/>
        <v>13.6</v>
      </c>
      <c r="C36" s="14">
        <f t="shared" si="1"/>
        <v>-3.4854268271702415</v>
      </c>
      <c r="D36" s="202">
        <f t="shared" si="2"/>
        <v>-3.742713413585121</v>
      </c>
      <c r="E36" s="203" t="e">
        <f t="shared" si="17"/>
        <v>#DIV/0!</v>
      </c>
      <c r="F36" s="201" t="e">
        <f t="shared" si="3"/>
        <v>#DIV/0!</v>
      </c>
      <c r="G36" s="201"/>
      <c r="H36" s="207">
        <f t="shared" si="4"/>
        <v>11200</v>
      </c>
      <c r="I36" s="201" t="e">
        <f t="shared" si="0"/>
        <v>#DIV/0!</v>
      </c>
      <c r="J36" s="204" t="e">
        <f t="shared" si="5"/>
        <v>#DIV/0!</v>
      </c>
      <c r="K36" s="204" t="e">
        <f t="shared" si="6"/>
        <v>#DIV/0!</v>
      </c>
      <c r="L36" s="204" t="e">
        <f t="shared" si="7"/>
        <v>#DIV/0!</v>
      </c>
      <c r="M36" s="277">
        <f t="shared" si="18"/>
        <v>13386.560424545207</v>
      </c>
      <c r="N36" s="201"/>
      <c r="O36" s="205" t="e">
        <f t="shared" si="19"/>
        <v>#DIV/0!</v>
      </c>
      <c r="P36" s="146"/>
      <c r="Q36" s="201" t="e">
        <f t="shared" si="8"/>
        <v>#DIV/0!</v>
      </c>
      <c r="R36" s="204" t="e">
        <f t="shared" si="9"/>
        <v>#DIV/0!</v>
      </c>
      <c r="S36" s="204" t="e">
        <f t="shared" si="10"/>
        <v>#DIV/0!</v>
      </c>
      <c r="T36" s="204" t="e">
        <f t="shared" si="11"/>
        <v>#DIV/0!</v>
      </c>
      <c r="U36" s="105">
        <f t="shared" si="12"/>
        <v>4.1266690026630535</v>
      </c>
      <c r="V36" s="187" t="e">
        <f t="shared" si="13"/>
        <v>#DIV/0!</v>
      </c>
      <c r="W36" s="204" t="e">
        <f t="shared" si="14"/>
        <v>#DIV/0!</v>
      </c>
      <c r="X36" s="204" t="e">
        <f t="shared" si="15"/>
        <v>#DIV/0!</v>
      </c>
      <c r="Y36" s="204" t="e">
        <f t="shared" si="16"/>
        <v>#DIV/0!</v>
      </c>
      <c r="Z36" s="2"/>
    </row>
    <row r="37" spans="1:26" x14ac:dyDescent="0.2">
      <c r="A37" s="201">
        <v>8</v>
      </c>
      <c r="B37" s="14">
        <f t="shared" si="20"/>
        <v>9.6</v>
      </c>
      <c r="C37" s="14">
        <f t="shared" si="1"/>
        <v>-3</v>
      </c>
      <c r="D37" s="202">
        <f t="shared" si="2"/>
        <v>-3.242713413585121</v>
      </c>
      <c r="E37" s="203" t="e">
        <f t="shared" si="17"/>
        <v>#DIV/0!</v>
      </c>
      <c r="F37" s="201" t="e">
        <f t="shared" si="3"/>
        <v>#DIV/0!</v>
      </c>
      <c r="G37" s="201"/>
      <c r="H37" s="207">
        <f t="shared" si="4"/>
        <v>8000</v>
      </c>
      <c r="I37" s="201" t="e">
        <f t="shared" si="0"/>
        <v>#DIV/0!</v>
      </c>
      <c r="J37" s="204" t="e">
        <f t="shared" si="5"/>
        <v>#DIV/0!</v>
      </c>
      <c r="K37" s="204" t="e">
        <f t="shared" si="6"/>
        <v>#DIV/0!</v>
      </c>
      <c r="L37" s="204" t="e">
        <f t="shared" si="7"/>
        <v>#DIV/0!</v>
      </c>
      <c r="M37" s="277">
        <f t="shared" si="18"/>
        <v>9465.7276529593837</v>
      </c>
      <c r="N37" s="201"/>
      <c r="O37" s="205" t="e">
        <f t="shared" si="19"/>
        <v>#DIV/0!</v>
      </c>
      <c r="P37" s="146"/>
      <c r="Q37" s="201" t="e">
        <f t="shared" si="8"/>
        <v>#DIV/0!</v>
      </c>
      <c r="R37" s="204" t="e">
        <f t="shared" si="9"/>
        <v>#DIV/0!</v>
      </c>
      <c r="S37" s="204" t="e">
        <f t="shared" si="10"/>
        <v>#DIV/0!</v>
      </c>
      <c r="T37" s="204" t="e">
        <f t="shared" si="11"/>
        <v>#DIV/0!</v>
      </c>
      <c r="U37" s="105">
        <f t="shared" si="12"/>
        <v>3.976154004831062</v>
      </c>
      <c r="V37" s="187" t="e">
        <f t="shared" si="13"/>
        <v>#DIV/0!</v>
      </c>
      <c r="W37" s="204" t="e">
        <f t="shared" si="14"/>
        <v>#DIV/0!</v>
      </c>
      <c r="X37" s="204" t="e">
        <f t="shared" si="15"/>
        <v>#DIV/0!</v>
      </c>
      <c r="Y37" s="204" t="e">
        <f t="shared" si="16"/>
        <v>#DIV/0!</v>
      </c>
      <c r="Z37" s="2"/>
    </row>
    <row r="38" spans="1:26" x14ac:dyDescent="0.2">
      <c r="A38" s="201">
        <v>5.6</v>
      </c>
      <c r="B38" s="14">
        <f t="shared" si="20"/>
        <v>6.8</v>
      </c>
      <c r="C38" s="14">
        <f t="shared" si="1"/>
        <v>-2.485426827170242</v>
      </c>
      <c r="D38" s="202">
        <f t="shared" si="2"/>
        <v>-2.742713413585121</v>
      </c>
      <c r="E38" s="203" t="e">
        <f t="shared" si="17"/>
        <v>#DIV/0!</v>
      </c>
      <c r="F38" s="201" t="e">
        <f t="shared" si="3"/>
        <v>#DIV/0!</v>
      </c>
      <c r="G38" s="201"/>
      <c r="H38" s="207">
        <f t="shared" si="4"/>
        <v>5600</v>
      </c>
      <c r="I38" s="201" t="e">
        <f t="shared" si="0"/>
        <v>#DIV/0!</v>
      </c>
      <c r="J38" s="204" t="e">
        <f t="shared" si="5"/>
        <v>#DIV/0!</v>
      </c>
      <c r="K38" s="204" t="e">
        <f t="shared" si="6"/>
        <v>#DIV/0!</v>
      </c>
      <c r="L38" s="204" t="e">
        <f t="shared" si="7"/>
        <v>#DIV/0!</v>
      </c>
      <c r="M38" s="277">
        <f t="shared" si="18"/>
        <v>6693.2802122726043</v>
      </c>
      <c r="N38" s="201"/>
      <c r="O38" s="205" t="e">
        <f t="shared" si="19"/>
        <v>#DIV/0!</v>
      </c>
      <c r="P38" s="146"/>
      <c r="Q38" s="201" t="e">
        <f t="shared" si="8"/>
        <v>#DIV/0!</v>
      </c>
      <c r="R38" s="204" t="e">
        <f t="shared" si="9"/>
        <v>#DIV/0!</v>
      </c>
      <c r="S38" s="204" t="e">
        <f t="shared" si="10"/>
        <v>#DIV/0!</v>
      </c>
      <c r="T38" s="204" t="e">
        <f t="shared" si="11"/>
        <v>#DIV/0!</v>
      </c>
      <c r="U38" s="105">
        <f t="shared" si="12"/>
        <v>3.8256390069990718</v>
      </c>
      <c r="V38" s="187" t="e">
        <f t="shared" si="13"/>
        <v>#DIV/0!</v>
      </c>
      <c r="W38" s="204" t="e">
        <f t="shared" si="14"/>
        <v>#DIV/0!</v>
      </c>
      <c r="X38" s="204" t="e">
        <f t="shared" si="15"/>
        <v>#DIV/0!</v>
      </c>
      <c r="Y38" s="204" t="e">
        <f t="shared" si="16"/>
        <v>#DIV/0!</v>
      </c>
      <c r="Z38" s="2"/>
    </row>
    <row r="39" spans="1:26" x14ac:dyDescent="0.2">
      <c r="A39" s="201">
        <v>4</v>
      </c>
      <c r="B39" s="14">
        <f t="shared" si="20"/>
        <v>4.8</v>
      </c>
      <c r="C39" s="14">
        <f t="shared" si="1"/>
        <v>-2</v>
      </c>
      <c r="D39" s="202">
        <f t="shared" si="2"/>
        <v>-2.242713413585121</v>
      </c>
      <c r="E39" s="203" t="e">
        <f t="shared" si="17"/>
        <v>#DIV/0!</v>
      </c>
      <c r="F39" s="201" t="e">
        <f t="shared" si="3"/>
        <v>#DIV/0!</v>
      </c>
      <c r="G39" s="201"/>
      <c r="H39" s="207">
        <f t="shared" si="4"/>
        <v>4000</v>
      </c>
      <c r="I39" s="201" t="e">
        <f t="shared" si="0"/>
        <v>#DIV/0!</v>
      </c>
      <c r="J39" s="204" t="e">
        <f t="shared" si="5"/>
        <v>#DIV/0!</v>
      </c>
      <c r="K39" s="204" t="e">
        <f t="shared" si="6"/>
        <v>#DIV/0!</v>
      </c>
      <c r="L39" s="204" t="e">
        <f t="shared" si="7"/>
        <v>#DIV/0!</v>
      </c>
      <c r="M39" s="277">
        <f t="shared" si="18"/>
        <v>4732.8638264796928</v>
      </c>
      <c r="N39" s="201"/>
      <c r="O39" s="205" t="e">
        <f t="shared" si="19"/>
        <v>#DIV/0!</v>
      </c>
      <c r="P39" s="146"/>
      <c r="Q39" s="201" t="e">
        <f t="shared" si="8"/>
        <v>#DIV/0!</v>
      </c>
      <c r="R39" s="204" t="e">
        <f t="shared" si="9"/>
        <v>#DIV/0!</v>
      </c>
      <c r="S39" s="204" t="e">
        <f t="shared" si="10"/>
        <v>#DIV/0!</v>
      </c>
      <c r="T39" s="204" t="e">
        <f t="shared" si="11"/>
        <v>#DIV/0!</v>
      </c>
      <c r="U39" s="105">
        <f t="shared" si="12"/>
        <v>3.6751240091670807</v>
      </c>
      <c r="V39" s="187" t="e">
        <f t="shared" si="13"/>
        <v>#DIV/0!</v>
      </c>
      <c r="W39" s="204" t="e">
        <f t="shared" si="14"/>
        <v>#DIV/0!</v>
      </c>
      <c r="X39" s="204" t="e">
        <f t="shared" si="15"/>
        <v>#DIV/0!</v>
      </c>
      <c r="Y39" s="204" t="e">
        <f t="shared" si="16"/>
        <v>#DIV/0!</v>
      </c>
      <c r="Z39" s="2"/>
    </row>
    <row r="40" spans="1:26" x14ac:dyDescent="0.2">
      <c r="A40" s="201">
        <v>2.8</v>
      </c>
      <c r="B40" s="14">
        <f t="shared" si="20"/>
        <v>3.4</v>
      </c>
      <c r="C40" s="14">
        <f t="shared" si="1"/>
        <v>-1.4854268271702415</v>
      </c>
      <c r="D40" s="202">
        <f t="shared" si="2"/>
        <v>-1.7427134135851208</v>
      </c>
      <c r="E40" s="203" t="e">
        <f t="shared" si="17"/>
        <v>#DIV/0!</v>
      </c>
      <c r="F40" s="201" t="e">
        <f t="shared" si="3"/>
        <v>#DIV/0!</v>
      </c>
      <c r="G40" s="201"/>
      <c r="H40" s="207">
        <f t="shared" si="4"/>
        <v>2800</v>
      </c>
      <c r="I40" s="201" t="e">
        <f t="shared" si="0"/>
        <v>#DIV/0!</v>
      </c>
      <c r="J40" s="204" t="e">
        <f t="shared" si="5"/>
        <v>#DIV/0!</v>
      </c>
      <c r="K40" s="204" t="e">
        <f t="shared" si="6"/>
        <v>#DIV/0!</v>
      </c>
      <c r="L40" s="204" t="e">
        <f t="shared" si="7"/>
        <v>#DIV/0!</v>
      </c>
      <c r="M40" s="277">
        <f t="shared" si="18"/>
        <v>3346.6401061363017</v>
      </c>
      <c r="N40" s="201"/>
      <c r="O40" s="205" t="e">
        <f t="shared" si="19"/>
        <v>#DIV/0!</v>
      </c>
      <c r="P40" s="146"/>
      <c r="Q40" s="201" t="e">
        <f t="shared" si="8"/>
        <v>#DIV/0!</v>
      </c>
      <c r="R40" s="204" t="e">
        <f t="shared" si="9"/>
        <v>#DIV/0!</v>
      </c>
      <c r="S40" s="204" t="e">
        <f t="shared" si="10"/>
        <v>#DIV/0!</v>
      </c>
      <c r="T40" s="204" t="e">
        <f t="shared" si="11"/>
        <v>#DIV/0!</v>
      </c>
      <c r="U40" s="105">
        <f t="shared" si="12"/>
        <v>3.5246090113350905</v>
      </c>
      <c r="V40" s="187" t="e">
        <f t="shared" si="13"/>
        <v>#DIV/0!</v>
      </c>
      <c r="W40" s="204" t="e">
        <f t="shared" si="14"/>
        <v>#DIV/0!</v>
      </c>
      <c r="X40" s="204" t="e">
        <f t="shared" si="15"/>
        <v>#DIV/0!</v>
      </c>
      <c r="Y40" s="204" t="e">
        <f t="shared" si="16"/>
        <v>#DIV/0!</v>
      </c>
      <c r="Z40" s="2"/>
    </row>
    <row r="41" spans="1:26" x14ac:dyDescent="0.2">
      <c r="A41" s="201">
        <v>2</v>
      </c>
      <c r="B41" s="14">
        <f t="shared" si="20"/>
        <v>2.4</v>
      </c>
      <c r="C41" s="14">
        <f t="shared" si="1"/>
        <v>-1</v>
      </c>
      <c r="D41" s="202">
        <f t="shared" si="2"/>
        <v>-1.2427134135851208</v>
      </c>
      <c r="E41" s="203" t="e">
        <f t="shared" si="17"/>
        <v>#DIV/0!</v>
      </c>
      <c r="F41" s="201" t="e">
        <f t="shared" si="3"/>
        <v>#DIV/0!</v>
      </c>
      <c r="G41" s="201"/>
      <c r="H41" s="207">
        <f t="shared" si="4"/>
        <v>2000</v>
      </c>
      <c r="I41" s="201" t="e">
        <f t="shared" si="0"/>
        <v>#DIV/0!</v>
      </c>
      <c r="J41" s="204" t="e">
        <f t="shared" si="5"/>
        <v>#DIV/0!</v>
      </c>
      <c r="K41" s="204" t="e">
        <f t="shared" si="6"/>
        <v>#DIV/0!</v>
      </c>
      <c r="L41" s="204" t="e">
        <f t="shared" si="7"/>
        <v>#DIV/0!</v>
      </c>
      <c r="M41" s="277">
        <f t="shared" si="18"/>
        <v>2366.4319132398459</v>
      </c>
      <c r="N41" s="201"/>
      <c r="O41" s="205" t="e">
        <f t="shared" si="19"/>
        <v>#DIV/0!</v>
      </c>
      <c r="P41" s="146"/>
      <c r="Q41" s="201" t="e">
        <f t="shared" si="8"/>
        <v>#DIV/0!</v>
      </c>
      <c r="R41" s="204" t="e">
        <f t="shared" si="9"/>
        <v>#DIV/0!</v>
      </c>
      <c r="S41" s="204" t="e">
        <f t="shared" si="10"/>
        <v>#DIV/0!</v>
      </c>
      <c r="T41" s="204" t="e">
        <f t="shared" si="11"/>
        <v>#DIV/0!</v>
      </c>
      <c r="U41" s="105">
        <f t="shared" si="12"/>
        <v>3.3740940135030995</v>
      </c>
      <c r="V41" s="187" t="e">
        <f t="shared" si="13"/>
        <v>#DIV/0!</v>
      </c>
      <c r="W41" s="204" t="e">
        <f t="shared" si="14"/>
        <v>#DIV/0!</v>
      </c>
      <c r="X41" s="204" t="e">
        <f t="shared" si="15"/>
        <v>#DIV/0!</v>
      </c>
      <c r="Y41" s="204" t="e">
        <f t="shared" si="16"/>
        <v>#DIV/0!</v>
      </c>
      <c r="Z41" s="2"/>
    </row>
    <row r="42" spans="1:26" x14ac:dyDescent="0.2">
      <c r="A42" s="201">
        <v>1.4</v>
      </c>
      <c r="B42" s="14">
        <f t="shared" si="20"/>
        <v>1.7</v>
      </c>
      <c r="C42" s="14">
        <f t="shared" si="1"/>
        <v>-0.48542682717024171</v>
      </c>
      <c r="D42" s="202">
        <f t="shared" si="2"/>
        <v>-0.74271341358512089</v>
      </c>
      <c r="E42" s="203" t="e">
        <f t="shared" si="17"/>
        <v>#DIV/0!</v>
      </c>
      <c r="F42" s="201" t="e">
        <f t="shared" si="3"/>
        <v>#DIV/0!</v>
      </c>
      <c r="G42" s="201"/>
      <c r="H42" s="207">
        <f t="shared" si="4"/>
        <v>1400</v>
      </c>
      <c r="I42" s="201" t="e">
        <f t="shared" si="0"/>
        <v>#DIV/0!</v>
      </c>
      <c r="J42" s="204" t="e">
        <f t="shared" si="5"/>
        <v>#DIV/0!</v>
      </c>
      <c r="K42" s="204" t="e">
        <f t="shared" si="6"/>
        <v>#DIV/0!</v>
      </c>
      <c r="L42" s="204" t="e">
        <f t="shared" si="7"/>
        <v>#DIV/0!</v>
      </c>
      <c r="M42" s="277">
        <f t="shared" si="18"/>
        <v>1673.3200530681509</v>
      </c>
      <c r="N42" s="201"/>
      <c r="O42" s="205" t="e">
        <f t="shared" si="19"/>
        <v>#DIV/0!</v>
      </c>
      <c r="P42" s="146"/>
      <c r="Q42" s="201" t="e">
        <f t="shared" si="8"/>
        <v>#DIV/0!</v>
      </c>
      <c r="R42" s="204" t="e">
        <f t="shared" si="9"/>
        <v>#DIV/0!</v>
      </c>
      <c r="S42" s="204" t="e">
        <f t="shared" si="10"/>
        <v>#DIV/0!</v>
      </c>
      <c r="T42" s="204" t="e">
        <f t="shared" si="11"/>
        <v>#DIV/0!</v>
      </c>
      <c r="U42" s="105">
        <f t="shared" si="12"/>
        <v>3.2235790156711093</v>
      </c>
      <c r="V42" s="187" t="e">
        <f t="shared" si="13"/>
        <v>#DIV/0!</v>
      </c>
      <c r="W42" s="204" t="e">
        <f t="shared" si="14"/>
        <v>#DIV/0!</v>
      </c>
      <c r="X42" s="204" t="e">
        <f t="shared" si="15"/>
        <v>#DIV/0!</v>
      </c>
      <c r="Y42" s="204" t="e">
        <f t="shared" si="16"/>
        <v>#DIV/0!</v>
      </c>
      <c r="Z42" s="2"/>
    </row>
    <row r="43" spans="1:26" x14ac:dyDescent="0.2">
      <c r="A43" s="201">
        <v>1</v>
      </c>
      <c r="B43" s="14">
        <f t="shared" si="20"/>
        <v>1.2</v>
      </c>
      <c r="C43" s="14">
        <f t="shared" si="1"/>
        <v>0</v>
      </c>
      <c r="D43" s="202">
        <f t="shared" si="2"/>
        <v>-0.24271341358512086</v>
      </c>
      <c r="E43" s="203" t="e">
        <f t="shared" si="17"/>
        <v>#DIV/0!</v>
      </c>
      <c r="F43" s="201" t="e">
        <f t="shared" si="3"/>
        <v>#DIV/0!</v>
      </c>
      <c r="G43" s="201"/>
      <c r="H43" s="207">
        <f t="shared" si="4"/>
        <v>1000</v>
      </c>
      <c r="I43" s="201" t="e">
        <f t="shared" si="0"/>
        <v>#DIV/0!</v>
      </c>
      <c r="J43" s="204" t="e">
        <f t="shared" si="5"/>
        <v>#DIV/0!</v>
      </c>
      <c r="K43" s="204" t="e">
        <f t="shared" si="6"/>
        <v>#DIV/0!</v>
      </c>
      <c r="L43" s="204" t="e">
        <f t="shared" si="7"/>
        <v>#DIV/0!</v>
      </c>
      <c r="M43" s="277">
        <f t="shared" si="18"/>
        <v>1183.2159566199232</v>
      </c>
      <c r="N43" s="201"/>
      <c r="O43" s="205" t="e">
        <f t="shared" si="19"/>
        <v>#DIV/0!</v>
      </c>
      <c r="P43" s="146"/>
      <c r="Q43" s="201" t="e">
        <f t="shared" si="8"/>
        <v>#DIV/0!</v>
      </c>
      <c r="R43" s="204" t="e">
        <f t="shared" si="9"/>
        <v>#DIV/0!</v>
      </c>
      <c r="S43" s="204" t="e">
        <f t="shared" si="10"/>
        <v>#DIV/0!</v>
      </c>
      <c r="T43" s="204" t="e">
        <f t="shared" si="11"/>
        <v>#DIV/0!</v>
      </c>
      <c r="U43" s="105">
        <f t="shared" si="12"/>
        <v>3.0730640178391186</v>
      </c>
      <c r="V43" s="187" t="e">
        <f t="shared" si="13"/>
        <v>#DIV/0!</v>
      </c>
      <c r="W43" s="204" t="e">
        <f t="shared" si="14"/>
        <v>#DIV/0!</v>
      </c>
      <c r="X43" s="204" t="e">
        <f t="shared" si="15"/>
        <v>#DIV/0!</v>
      </c>
      <c r="Y43" s="204" t="e">
        <f t="shared" si="16"/>
        <v>#DIV/0!</v>
      </c>
      <c r="Z43" s="2"/>
    </row>
    <row r="44" spans="1:26" x14ac:dyDescent="0.2">
      <c r="A44" s="201">
        <v>0.71</v>
      </c>
      <c r="B44" s="14">
        <f t="shared" si="20"/>
        <v>0.85499999999999998</v>
      </c>
      <c r="C44" s="14">
        <f t="shared" si="1"/>
        <v>0.49410907027004275</v>
      </c>
      <c r="D44" s="202">
        <f t="shared" si="2"/>
        <v>0.24705453513502137</v>
      </c>
      <c r="E44" s="203" t="e">
        <f t="shared" si="17"/>
        <v>#DIV/0!</v>
      </c>
      <c r="F44" s="201" t="e">
        <f t="shared" si="3"/>
        <v>#DIV/0!</v>
      </c>
      <c r="G44" s="201"/>
      <c r="H44" s="207">
        <f t="shared" si="4"/>
        <v>710</v>
      </c>
      <c r="I44" s="201" t="e">
        <f t="shared" si="0"/>
        <v>#DIV/0!</v>
      </c>
      <c r="J44" s="204" t="e">
        <f t="shared" si="5"/>
        <v>#DIV/0!</v>
      </c>
      <c r="K44" s="204" t="e">
        <f t="shared" si="6"/>
        <v>#DIV/0!</v>
      </c>
      <c r="L44" s="204" t="e">
        <f t="shared" si="7"/>
        <v>#DIV/0!</v>
      </c>
      <c r="M44" s="277">
        <f t="shared" si="18"/>
        <v>842.61497731763586</v>
      </c>
      <c r="N44" s="201"/>
      <c r="O44" s="205" t="e">
        <f t="shared" si="19"/>
        <v>#DIV/0!</v>
      </c>
      <c r="P44" s="146"/>
      <c r="Q44" s="201" t="e">
        <f t="shared" si="8"/>
        <v>#DIV/0!</v>
      </c>
      <c r="R44" s="204" t="e">
        <f t="shared" si="9"/>
        <v>#DIV/0!</v>
      </c>
      <c r="S44" s="204" t="e">
        <f t="shared" si="10"/>
        <v>#DIV/0!</v>
      </c>
      <c r="T44" s="204" t="e">
        <f t="shared" si="11"/>
        <v>#DIV/0!</v>
      </c>
      <c r="U44" s="105">
        <f t="shared" si="12"/>
        <v>2.9256291743595373</v>
      </c>
      <c r="V44" s="187" t="e">
        <f t="shared" si="13"/>
        <v>#DIV/0!</v>
      </c>
      <c r="W44" s="204" t="e">
        <f t="shared" si="14"/>
        <v>#DIV/0!</v>
      </c>
      <c r="X44" s="204" t="e">
        <f t="shared" si="15"/>
        <v>#DIV/0!</v>
      </c>
      <c r="Y44" s="204" t="e">
        <f t="shared" si="16"/>
        <v>#DIV/0!</v>
      </c>
      <c r="Z44" s="2"/>
    </row>
    <row r="45" spans="1:26" x14ac:dyDescent="0.2">
      <c r="A45" s="201">
        <v>0.5</v>
      </c>
      <c r="B45" s="14">
        <f t="shared" si="20"/>
        <v>0.60499999999999998</v>
      </c>
      <c r="C45" s="14">
        <f t="shared" si="1"/>
        <v>1</v>
      </c>
      <c r="D45" s="202">
        <f t="shared" si="2"/>
        <v>0.7470545351350214</v>
      </c>
      <c r="E45" s="203" t="e">
        <f t="shared" si="17"/>
        <v>#DIV/0!</v>
      </c>
      <c r="F45" s="201" t="e">
        <f t="shared" si="3"/>
        <v>#DIV/0!</v>
      </c>
      <c r="G45" s="201"/>
      <c r="H45" s="207">
        <f t="shared" si="4"/>
        <v>500</v>
      </c>
      <c r="I45" s="201" t="e">
        <f t="shared" si="0"/>
        <v>#DIV/0!</v>
      </c>
      <c r="J45" s="204" t="e">
        <f t="shared" si="5"/>
        <v>#DIV/0!</v>
      </c>
      <c r="K45" s="204" t="e">
        <f t="shared" si="6"/>
        <v>#DIV/0!</v>
      </c>
      <c r="L45" s="204" t="e">
        <f t="shared" si="7"/>
        <v>#DIV/0!</v>
      </c>
      <c r="M45" s="277">
        <f t="shared" si="18"/>
        <v>595.81876439064933</v>
      </c>
      <c r="N45" s="201"/>
      <c r="O45" s="205" t="e">
        <f t="shared" si="19"/>
        <v>#DIV/0!</v>
      </c>
      <c r="P45" s="146"/>
      <c r="Q45" s="201" t="e">
        <f t="shared" si="8"/>
        <v>#DIV/0!</v>
      </c>
      <c r="R45" s="204" t="e">
        <f t="shared" si="9"/>
        <v>#DIV/0!</v>
      </c>
      <c r="S45" s="204" t="e">
        <f t="shared" si="10"/>
        <v>#DIV/0!</v>
      </c>
      <c r="T45" s="204" t="e">
        <f t="shared" si="11"/>
        <v>#DIV/0!</v>
      </c>
      <c r="U45" s="105">
        <f t="shared" si="12"/>
        <v>2.7751141765275467</v>
      </c>
      <c r="V45" s="187" t="e">
        <f t="shared" si="13"/>
        <v>#DIV/0!</v>
      </c>
      <c r="W45" s="204" t="e">
        <f t="shared" si="14"/>
        <v>#DIV/0!</v>
      </c>
      <c r="X45" s="204" t="e">
        <f t="shared" si="15"/>
        <v>#DIV/0!</v>
      </c>
      <c r="Y45" s="204" t="e">
        <f t="shared" si="16"/>
        <v>#DIV/0!</v>
      </c>
      <c r="Z45" s="2"/>
    </row>
    <row r="46" spans="1:26" x14ac:dyDescent="0.2">
      <c r="A46" s="201">
        <v>0.35499999999999998</v>
      </c>
      <c r="B46" s="14">
        <f t="shared" si="20"/>
        <v>0.42749999999999999</v>
      </c>
      <c r="C46" s="14">
        <f t="shared" si="1"/>
        <v>1.4941090702700428</v>
      </c>
      <c r="D46" s="202">
        <f t="shared" si="2"/>
        <v>1.2470545351350215</v>
      </c>
      <c r="E46" s="203" t="e">
        <f t="shared" si="17"/>
        <v>#DIV/0!</v>
      </c>
      <c r="F46" s="201" t="e">
        <f t="shared" si="3"/>
        <v>#DIV/0!</v>
      </c>
      <c r="G46" s="201"/>
      <c r="H46" s="207">
        <f t="shared" si="4"/>
        <v>355</v>
      </c>
      <c r="I46" s="201" t="e">
        <f t="shared" si="0"/>
        <v>#DIV/0!</v>
      </c>
      <c r="J46" s="204" t="e">
        <f t="shared" si="5"/>
        <v>#DIV/0!</v>
      </c>
      <c r="K46" s="204" t="e">
        <f t="shared" si="6"/>
        <v>#DIV/0!</v>
      </c>
      <c r="L46" s="204" t="e">
        <f t="shared" si="7"/>
        <v>#DIV/0!</v>
      </c>
      <c r="M46" s="277">
        <f t="shared" si="18"/>
        <v>421.30748865881782</v>
      </c>
      <c r="N46" s="201"/>
      <c r="O46" s="205" t="e">
        <f t="shared" si="19"/>
        <v>#DIV/0!</v>
      </c>
      <c r="P46" s="146"/>
      <c r="Q46" s="201" t="e">
        <f t="shared" si="8"/>
        <v>#DIV/0!</v>
      </c>
      <c r="R46" s="204" t="e">
        <f t="shared" si="9"/>
        <v>#DIV/0!</v>
      </c>
      <c r="S46" s="204" t="e">
        <f t="shared" si="10"/>
        <v>#DIV/0!</v>
      </c>
      <c r="T46" s="204" t="e">
        <f t="shared" si="11"/>
        <v>#DIV/0!</v>
      </c>
      <c r="U46" s="105">
        <f t="shared" si="12"/>
        <v>2.624599178695556</v>
      </c>
      <c r="V46" s="187" t="e">
        <f t="shared" si="13"/>
        <v>#DIV/0!</v>
      </c>
      <c r="W46" s="204" t="e">
        <f t="shared" si="14"/>
        <v>#DIV/0!</v>
      </c>
      <c r="X46" s="204" t="e">
        <f t="shared" si="15"/>
        <v>#DIV/0!</v>
      </c>
      <c r="Y46" s="204" t="e">
        <f t="shared" si="16"/>
        <v>#DIV/0!</v>
      </c>
      <c r="Z46" s="2"/>
    </row>
    <row r="47" spans="1:26" x14ac:dyDescent="0.2">
      <c r="A47" s="201">
        <v>0.25</v>
      </c>
      <c r="B47" s="14">
        <f t="shared" si="20"/>
        <v>0.30249999999999999</v>
      </c>
      <c r="C47" s="14">
        <f t="shared" si="1"/>
        <v>2</v>
      </c>
      <c r="D47" s="202">
        <f t="shared" si="2"/>
        <v>1.7470545351350215</v>
      </c>
      <c r="E47" s="203" t="e">
        <f t="shared" si="17"/>
        <v>#DIV/0!</v>
      </c>
      <c r="F47" s="201" t="e">
        <f t="shared" si="3"/>
        <v>#DIV/0!</v>
      </c>
      <c r="G47" s="201"/>
      <c r="H47" s="207">
        <f t="shared" si="4"/>
        <v>250</v>
      </c>
      <c r="I47" s="201" t="e">
        <f t="shared" si="0"/>
        <v>#DIV/0!</v>
      </c>
      <c r="J47" s="204" t="e">
        <f t="shared" si="5"/>
        <v>#DIV/0!</v>
      </c>
      <c r="K47" s="204" t="e">
        <f t="shared" si="6"/>
        <v>#DIV/0!</v>
      </c>
      <c r="L47" s="204" t="e">
        <f t="shared" si="7"/>
        <v>#DIV/0!</v>
      </c>
      <c r="M47" s="277">
        <f t="shared" si="18"/>
        <v>297.90938219532461</v>
      </c>
      <c r="N47" s="201"/>
      <c r="O47" s="205" t="e">
        <f t="shared" si="19"/>
        <v>#DIV/0!</v>
      </c>
      <c r="P47" s="146"/>
      <c r="Q47" s="201" t="e">
        <f t="shared" si="8"/>
        <v>#DIV/0!</v>
      </c>
      <c r="R47" s="204" t="e">
        <f t="shared" si="9"/>
        <v>#DIV/0!</v>
      </c>
      <c r="S47" s="204" t="e">
        <f t="shared" si="10"/>
        <v>#DIV/0!</v>
      </c>
      <c r="T47" s="204" t="e">
        <f t="shared" si="11"/>
        <v>#DIV/0!</v>
      </c>
      <c r="U47" s="105">
        <f t="shared" si="12"/>
        <v>2.4740841808635654</v>
      </c>
      <c r="V47" s="187" t="e">
        <f t="shared" si="13"/>
        <v>#DIV/0!</v>
      </c>
      <c r="W47" s="204" t="e">
        <f t="shared" si="14"/>
        <v>#DIV/0!</v>
      </c>
      <c r="X47" s="204" t="e">
        <f t="shared" si="15"/>
        <v>#DIV/0!</v>
      </c>
      <c r="Y47" s="204" t="e">
        <f t="shared" si="16"/>
        <v>#DIV/0!</v>
      </c>
      <c r="Z47" s="2"/>
    </row>
    <row r="48" spans="1:26" x14ac:dyDescent="0.2">
      <c r="A48" s="201">
        <v>0.18</v>
      </c>
      <c r="B48" s="14">
        <f t="shared" si="20"/>
        <v>0.215</v>
      </c>
      <c r="C48" s="14">
        <f t="shared" si="1"/>
        <v>2.4739311883324122</v>
      </c>
      <c r="D48" s="202">
        <f t="shared" si="2"/>
        <v>2.2369655941662061</v>
      </c>
      <c r="E48" s="203" t="e">
        <f t="shared" si="17"/>
        <v>#DIV/0!</v>
      </c>
      <c r="F48" s="201" t="e">
        <f t="shared" si="3"/>
        <v>#DIV/0!</v>
      </c>
      <c r="G48" s="201"/>
      <c r="H48" s="207">
        <f t="shared" si="4"/>
        <v>180</v>
      </c>
      <c r="I48" s="201" t="e">
        <f t="shared" si="0"/>
        <v>#DIV/0!</v>
      </c>
      <c r="J48" s="204" t="e">
        <f t="shared" si="5"/>
        <v>#DIV/0!</v>
      </c>
      <c r="K48" s="204" t="e">
        <f t="shared" si="6"/>
        <v>#DIV/0!</v>
      </c>
      <c r="L48" s="204" t="e">
        <f t="shared" si="7"/>
        <v>#DIV/0!</v>
      </c>
      <c r="M48" s="277">
        <f t="shared" si="18"/>
        <v>212.13203435596427</v>
      </c>
      <c r="N48" s="201"/>
      <c r="O48" s="205" t="e">
        <f t="shared" si="19"/>
        <v>#DIV/0!</v>
      </c>
      <c r="P48" s="146"/>
      <c r="Q48" s="201" t="e">
        <f t="shared" si="8"/>
        <v>#DIV/0!</v>
      </c>
      <c r="R48" s="204" t="e">
        <f t="shared" si="9"/>
        <v>#DIV/0!</v>
      </c>
      <c r="S48" s="204" t="e">
        <f t="shared" si="10"/>
        <v>#DIV/0!</v>
      </c>
      <c r="T48" s="204" t="e">
        <f t="shared" si="11"/>
        <v>#DIV/0!</v>
      </c>
      <c r="U48" s="105">
        <f t="shared" si="12"/>
        <v>2.3266062568876715</v>
      </c>
      <c r="V48" s="187" t="e">
        <f t="shared" si="13"/>
        <v>#DIV/0!</v>
      </c>
      <c r="W48" s="204" t="e">
        <f t="shared" si="14"/>
        <v>#DIV/0!</v>
      </c>
      <c r="X48" s="204" t="e">
        <f t="shared" si="15"/>
        <v>#DIV/0!</v>
      </c>
      <c r="Y48" s="204" t="e">
        <f t="shared" si="16"/>
        <v>#DIV/0!</v>
      </c>
      <c r="Z48" s="2"/>
    </row>
    <row r="49" spans="1:26" x14ac:dyDescent="0.2">
      <c r="A49" s="201">
        <v>0.125</v>
      </c>
      <c r="B49" s="14">
        <f t="shared" si="20"/>
        <v>0.1525</v>
      </c>
      <c r="C49" s="14">
        <f t="shared" si="1"/>
        <v>3</v>
      </c>
      <c r="D49" s="202">
        <f>(C48+C49)/2</f>
        <v>2.7369655941662061</v>
      </c>
      <c r="E49" s="203" t="e">
        <f t="shared" si="17"/>
        <v>#DIV/0!</v>
      </c>
      <c r="F49" s="201" t="e">
        <f t="shared" si="3"/>
        <v>#DIV/0!</v>
      </c>
      <c r="G49" s="201"/>
      <c r="H49" s="207">
        <f t="shared" si="4"/>
        <v>125</v>
      </c>
      <c r="I49" s="201" t="e">
        <f t="shared" si="0"/>
        <v>#DIV/0!</v>
      </c>
      <c r="J49" s="204" t="e">
        <f t="shared" si="5"/>
        <v>#DIV/0!</v>
      </c>
      <c r="K49" s="204" t="e">
        <f t="shared" si="6"/>
        <v>#DIV/0!</v>
      </c>
      <c r="L49" s="204" t="e">
        <f t="shared" si="7"/>
        <v>#DIV/0!</v>
      </c>
      <c r="M49" s="277">
        <f t="shared" si="18"/>
        <v>150</v>
      </c>
      <c r="N49" s="201"/>
      <c r="O49" s="205" t="e">
        <f t="shared" si="19"/>
        <v>#DIV/0!</v>
      </c>
      <c r="P49" s="146"/>
      <c r="Q49" s="201" t="e">
        <f t="shared" si="8"/>
        <v>#DIV/0!</v>
      </c>
      <c r="R49" s="204" t="e">
        <f t="shared" si="9"/>
        <v>#DIV/0!</v>
      </c>
      <c r="S49" s="204" t="e">
        <f t="shared" si="10"/>
        <v>#DIV/0!</v>
      </c>
      <c r="T49" s="204" t="e">
        <f t="shared" si="11"/>
        <v>#DIV/0!</v>
      </c>
      <c r="U49" s="105">
        <f t="shared" si="12"/>
        <v>2.1760912590556809</v>
      </c>
      <c r="V49" s="187" t="e">
        <f t="shared" si="13"/>
        <v>#DIV/0!</v>
      </c>
      <c r="W49" s="204" t="e">
        <f t="shared" si="14"/>
        <v>#DIV/0!</v>
      </c>
      <c r="X49" s="204" t="e">
        <f t="shared" si="15"/>
        <v>#DIV/0!</v>
      </c>
      <c r="Y49" s="204" t="e">
        <f t="shared" si="16"/>
        <v>#DIV/0!</v>
      </c>
      <c r="Z49" s="2"/>
    </row>
    <row r="50" spans="1:26" x14ac:dyDescent="0.2">
      <c r="A50" s="201">
        <v>0.09</v>
      </c>
      <c r="B50" s="14">
        <f t="shared" si="20"/>
        <v>0.1075</v>
      </c>
      <c r="C50" s="14">
        <f t="shared" si="1"/>
        <v>3.4739311883324127</v>
      </c>
      <c r="D50" s="202">
        <f>(C49+C50)/2</f>
        <v>3.2369655941662066</v>
      </c>
      <c r="E50" s="203" t="e">
        <f t="shared" si="17"/>
        <v>#DIV/0!</v>
      </c>
      <c r="F50" s="201" t="e">
        <f t="shared" si="3"/>
        <v>#DIV/0!</v>
      </c>
      <c r="G50" s="201"/>
      <c r="H50" s="207">
        <f t="shared" si="4"/>
        <v>90</v>
      </c>
      <c r="I50" s="201" t="e">
        <f t="shared" si="0"/>
        <v>#DIV/0!</v>
      </c>
      <c r="J50" s="204" t="e">
        <f t="shared" si="5"/>
        <v>#DIV/0!</v>
      </c>
      <c r="K50" s="204" t="e">
        <f t="shared" si="6"/>
        <v>#DIV/0!</v>
      </c>
      <c r="L50" s="204" t="e">
        <f t="shared" si="7"/>
        <v>#DIV/0!</v>
      </c>
      <c r="M50" s="277">
        <f t="shared" si="18"/>
        <v>106.06601717798213</v>
      </c>
      <c r="N50" s="201"/>
      <c r="O50" s="205" t="e">
        <f t="shared" si="19"/>
        <v>#DIV/0!</v>
      </c>
      <c r="P50" s="146"/>
      <c r="Q50" s="201" t="e">
        <f t="shared" si="8"/>
        <v>#DIV/0!</v>
      </c>
      <c r="R50" s="204" t="e">
        <f t="shared" si="9"/>
        <v>#DIV/0!</v>
      </c>
      <c r="S50" s="204" t="e">
        <f t="shared" si="10"/>
        <v>#DIV/0!</v>
      </c>
      <c r="T50" s="204" t="e">
        <f t="shared" si="11"/>
        <v>#DIV/0!</v>
      </c>
      <c r="U50" s="105">
        <f t="shared" si="12"/>
        <v>2.0255762612236903</v>
      </c>
      <c r="V50" s="187" t="e">
        <f t="shared" si="13"/>
        <v>#DIV/0!</v>
      </c>
      <c r="W50" s="204" t="e">
        <f t="shared" si="14"/>
        <v>#DIV/0!</v>
      </c>
      <c r="X50" s="204" t="e">
        <f t="shared" si="15"/>
        <v>#DIV/0!</v>
      </c>
      <c r="Y50" s="204" t="e">
        <f t="shared" si="16"/>
        <v>#DIV/0!</v>
      </c>
      <c r="Z50" s="2"/>
    </row>
    <row r="51" spans="1:26" x14ac:dyDescent="0.2">
      <c r="A51" s="201">
        <v>6.3E-2</v>
      </c>
      <c r="B51" s="14">
        <f t="shared" si="20"/>
        <v>7.6499999999999999E-2</v>
      </c>
      <c r="C51" s="14">
        <f t="shared" si="1"/>
        <v>3.9885043611621707</v>
      </c>
      <c r="D51" s="202">
        <f t="shared" ref="D51:D114" si="21">(C50+C51)/2</f>
        <v>3.7312177747472917</v>
      </c>
      <c r="E51" s="203" t="e">
        <f t="shared" si="17"/>
        <v>#DIV/0!</v>
      </c>
      <c r="F51" s="201" t="e">
        <f t="shared" si="3"/>
        <v>#DIV/0!</v>
      </c>
      <c r="G51" s="201"/>
      <c r="H51" s="207">
        <f t="shared" si="4"/>
        <v>63</v>
      </c>
      <c r="I51" s="201" t="e">
        <f t="shared" si="0"/>
        <v>#DIV/0!</v>
      </c>
      <c r="J51" s="204" t="e">
        <f t="shared" si="5"/>
        <v>#DIV/0!</v>
      </c>
      <c r="K51" s="204" t="e">
        <f t="shared" si="6"/>
        <v>#DIV/0!</v>
      </c>
      <c r="L51" s="204" t="e">
        <f t="shared" si="7"/>
        <v>#DIV/0!</v>
      </c>
      <c r="M51" s="277">
        <f t="shared" si="18"/>
        <v>75.29940238806681</v>
      </c>
      <c r="N51" s="201"/>
      <c r="O51" s="205" t="e">
        <f t="shared" si="19"/>
        <v>#DIV/0!</v>
      </c>
      <c r="P51" s="146"/>
      <c r="Q51" s="201" t="e">
        <f t="shared" si="8"/>
        <v>#DIV/0!</v>
      </c>
      <c r="R51" s="204" t="e">
        <f t="shared" si="9"/>
        <v>#DIV/0!</v>
      </c>
      <c r="S51" s="204" t="e">
        <f t="shared" si="10"/>
        <v>#DIV/0!</v>
      </c>
      <c r="T51" s="204" t="e">
        <f t="shared" si="11"/>
        <v>#DIV/0!</v>
      </c>
      <c r="U51" s="105">
        <f t="shared" si="12"/>
        <v>1.8767915294464532</v>
      </c>
      <c r="V51" s="187" t="e">
        <f t="shared" si="13"/>
        <v>#DIV/0!</v>
      </c>
      <c r="W51" s="204" t="e">
        <f t="shared" si="14"/>
        <v>#DIV/0!</v>
      </c>
      <c r="X51" s="204" t="e">
        <f t="shared" si="15"/>
        <v>#DIV/0!</v>
      </c>
      <c r="Y51" s="204" t="e">
        <f t="shared" si="16"/>
        <v>#DIV/0!</v>
      </c>
      <c r="Z51" s="2"/>
    </row>
    <row r="52" spans="1:26" x14ac:dyDescent="0.2">
      <c r="A52" s="201">
        <v>0</v>
      </c>
      <c r="B52" s="14">
        <f t="shared" si="20"/>
        <v>3.198828125E-2</v>
      </c>
      <c r="C52" s="14">
        <f t="shared" si="1"/>
        <v>10</v>
      </c>
      <c r="D52" s="202">
        <f t="shared" si="21"/>
        <v>6.9942521805810856</v>
      </c>
      <c r="E52" s="203" t="e">
        <f t="shared" si="17"/>
        <v>#DIV/0!</v>
      </c>
      <c r="F52" s="201" t="e">
        <f t="shared" si="3"/>
        <v>#DIV/0!</v>
      </c>
      <c r="G52" s="201"/>
      <c r="H52" s="207">
        <f t="shared" si="4"/>
        <v>0</v>
      </c>
      <c r="I52" s="201" t="e">
        <f t="shared" si="0"/>
        <v>#DIV/0!</v>
      </c>
      <c r="J52" s="204" t="e">
        <f t="shared" si="5"/>
        <v>#DIV/0!</v>
      </c>
      <c r="K52" s="204" t="e">
        <f t="shared" si="6"/>
        <v>#DIV/0!</v>
      </c>
      <c r="L52" s="204" t="e">
        <f t="shared" si="7"/>
        <v>#DIV/0!</v>
      </c>
      <c r="M52" s="277">
        <f t="shared" si="18"/>
        <v>7.8436877487569596</v>
      </c>
      <c r="N52" s="201"/>
      <c r="O52" s="205" t="e">
        <f t="shared" si="19"/>
        <v>#DIV/0!</v>
      </c>
      <c r="P52" s="146"/>
      <c r="Q52" s="201" t="e">
        <f t="shared" si="8"/>
        <v>#DIV/0!</v>
      </c>
      <c r="R52" s="204" t="e">
        <f t="shared" si="9"/>
        <v>#DIV/0!</v>
      </c>
      <c r="S52" s="204" t="e">
        <f t="shared" si="10"/>
        <v>#DIV/0!</v>
      </c>
      <c r="T52" s="204" t="e">
        <f t="shared" si="11"/>
        <v>#DIV/0!</v>
      </c>
      <c r="U52" s="105">
        <f t="shared" si="12"/>
        <v>0.89452029640688491</v>
      </c>
      <c r="V52" s="187" t="e">
        <f t="shared" si="13"/>
        <v>#DIV/0!</v>
      </c>
      <c r="W52" s="204" t="e">
        <f t="shared" si="14"/>
        <v>#DIV/0!</v>
      </c>
      <c r="X52" s="204" t="e">
        <f t="shared" si="15"/>
        <v>#DIV/0!</v>
      </c>
      <c r="Y52" s="204" t="e">
        <f t="shared" si="16"/>
        <v>#DIV/0!</v>
      </c>
      <c r="Z52" s="2"/>
    </row>
    <row r="53" spans="1:26" x14ac:dyDescent="0.2">
      <c r="A53" s="201">
        <v>0</v>
      </c>
      <c r="B53" s="14">
        <f t="shared" si="20"/>
        <v>0</v>
      </c>
      <c r="C53" s="14" t="e">
        <f t="shared" si="1"/>
        <v>#NUM!</v>
      </c>
      <c r="D53" s="202" t="e">
        <f t="shared" si="21"/>
        <v>#NUM!</v>
      </c>
      <c r="E53" s="203" t="e">
        <f t="shared" si="17"/>
        <v>#DIV/0!</v>
      </c>
      <c r="F53" s="201" t="e">
        <f t="shared" si="3"/>
        <v>#DIV/0!</v>
      </c>
      <c r="G53" s="201"/>
      <c r="H53" s="207">
        <f t="shared" si="4"/>
        <v>0</v>
      </c>
      <c r="I53" s="201" t="e">
        <f t="shared" si="0"/>
        <v>#NUM!</v>
      </c>
      <c r="J53" s="204" t="e">
        <f t="shared" si="5"/>
        <v>#DIV/0!</v>
      </c>
      <c r="K53" s="204" t="e">
        <f t="shared" si="6"/>
        <v>#DIV/0!</v>
      </c>
      <c r="L53" s="204" t="e">
        <f t="shared" si="7"/>
        <v>#DIV/0!</v>
      </c>
      <c r="M53" s="277" t="e">
        <f t="shared" si="18"/>
        <v>#NUM!</v>
      </c>
      <c r="N53" s="201"/>
      <c r="O53" s="205" t="e">
        <f t="shared" si="19"/>
        <v>#DIV/0!</v>
      </c>
      <c r="P53" s="146"/>
      <c r="Q53" s="201" t="e">
        <f t="shared" si="8"/>
        <v>#DIV/0!</v>
      </c>
      <c r="R53" s="204" t="e">
        <f t="shared" si="9"/>
        <v>#DIV/0!</v>
      </c>
      <c r="S53" s="204" t="e">
        <f t="shared" si="10"/>
        <v>#DIV/0!</v>
      </c>
      <c r="T53" s="204" t="e">
        <f t="shared" si="11"/>
        <v>#DIV/0!</v>
      </c>
      <c r="U53" s="105" t="e">
        <f t="shared" si="12"/>
        <v>#NUM!</v>
      </c>
      <c r="V53" s="187" t="e">
        <f t="shared" si="13"/>
        <v>#NUM!</v>
      </c>
      <c r="W53" s="204" t="e">
        <f t="shared" si="14"/>
        <v>#DIV/0!</v>
      </c>
      <c r="X53" s="204" t="e">
        <f t="shared" si="15"/>
        <v>#DIV/0!</v>
      </c>
      <c r="Y53" s="204" t="e">
        <f t="shared" si="16"/>
        <v>#DIV/0!</v>
      </c>
      <c r="Z53" s="2"/>
    </row>
    <row r="54" spans="1:26" x14ac:dyDescent="0.2">
      <c r="A54" s="201">
        <v>0</v>
      </c>
      <c r="B54" s="14">
        <f t="shared" si="20"/>
        <v>0</v>
      </c>
      <c r="C54" s="14" t="e">
        <f t="shared" si="1"/>
        <v>#NUM!</v>
      </c>
      <c r="D54" s="202" t="e">
        <f t="shared" si="21"/>
        <v>#NUM!</v>
      </c>
      <c r="E54" s="203" t="e">
        <f t="shared" si="17"/>
        <v>#DIV/0!</v>
      </c>
      <c r="F54" s="201" t="e">
        <f t="shared" si="3"/>
        <v>#DIV/0!</v>
      </c>
      <c r="G54" s="201"/>
      <c r="H54" s="207">
        <f t="shared" si="4"/>
        <v>0</v>
      </c>
      <c r="I54" s="201" t="e">
        <f t="shared" si="0"/>
        <v>#NUM!</v>
      </c>
      <c r="J54" s="204" t="e">
        <f t="shared" si="5"/>
        <v>#DIV/0!</v>
      </c>
      <c r="K54" s="204" t="e">
        <f t="shared" si="6"/>
        <v>#DIV/0!</v>
      </c>
      <c r="L54" s="204" t="e">
        <f t="shared" si="7"/>
        <v>#DIV/0!</v>
      </c>
      <c r="M54" s="277" t="e">
        <f t="shared" si="18"/>
        <v>#NUM!</v>
      </c>
      <c r="N54" s="201"/>
      <c r="O54" s="205" t="e">
        <f t="shared" si="19"/>
        <v>#DIV/0!</v>
      </c>
      <c r="P54" s="146"/>
      <c r="Q54" s="201" t="e">
        <f t="shared" si="8"/>
        <v>#DIV/0!</v>
      </c>
      <c r="R54" s="204" t="e">
        <f t="shared" si="9"/>
        <v>#DIV/0!</v>
      </c>
      <c r="S54" s="204" t="e">
        <f t="shared" si="10"/>
        <v>#DIV/0!</v>
      </c>
      <c r="T54" s="204" t="e">
        <f t="shared" si="11"/>
        <v>#DIV/0!</v>
      </c>
      <c r="U54" s="105" t="e">
        <f t="shared" si="12"/>
        <v>#NUM!</v>
      </c>
      <c r="V54" s="187" t="e">
        <f t="shared" si="13"/>
        <v>#NUM!</v>
      </c>
      <c r="W54" s="204" t="e">
        <f t="shared" si="14"/>
        <v>#DIV/0!</v>
      </c>
      <c r="X54" s="204" t="e">
        <f t="shared" si="15"/>
        <v>#DIV/0!</v>
      </c>
      <c r="Y54" s="204" t="e">
        <f t="shared" si="16"/>
        <v>#DIV/0!</v>
      </c>
      <c r="Z54" s="2"/>
    </row>
    <row r="55" spans="1:26" x14ac:dyDescent="0.2">
      <c r="A55" s="201">
        <v>0</v>
      </c>
      <c r="B55" s="14">
        <f t="shared" si="20"/>
        <v>0</v>
      </c>
      <c r="C55" s="14" t="e">
        <f t="shared" si="1"/>
        <v>#NUM!</v>
      </c>
      <c r="D55" s="202" t="e">
        <f t="shared" si="21"/>
        <v>#NUM!</v>
      </c>
      <c r="E55" s="203" t="e">
        <f t="shared" si="17"/>
        <v>#DIV/0!</v>
      </c>
      <c r="F55" s="201" t="e">
        <f t="shared" si="3"/>
        <v>#DIV/0!</v>
      </c>
      <c r="G55" s="201"/>
      <c r="H55" s="207">
        <f t="shared" si="4"/>
        <v>0</v>
      </c>
      <c r="I55" s="201" t="e">
        <f t="shared" si="0"/>
        <v>#NUM!</v>
      </c>
      <c r="J55" s="204" t="e">
        <f t="shared" si="5"/>
        <v>#DIV/0!</v>
      </c>
      <c r="K55" s="204" t="e">
        <f t="shared" si="6"/>
        <v>#DIV/0!</v>
      </c>
      <c r="L55" s="204" t="e">
        <f t="shared" si="7"/>
        <v>#DIV/0!</v>
      </c>
      <c r="M55" s="277" t="e">
        <f t="shared" si="18"/>
        <v>#NUM!</v>
      </c>
      <c r="N55" s="201"/>
      <c r="O55" s="205" t="e">
        <f t="shared" si="19"/>
        <v>#DIV/0!</v>
      </c>
      <c r="P55" s="146"/>
      <c r="Q55" s="201" t="e">
        <f t="shared" si="8"/>
        <v>#DIV/0!</v>
      </c>
      <c r="R55" s="204" t="e">
        <f t="shared" si="9"/>
        <v>#DIV/0!</v>
      </c>
      <c r="S55" s="204" t="e">
        <f t="shared" si="10"/>
        <v>#DIV/0!</v>
      </c>
      <c r="T55" s="204" t="e">
        <f t="shared" si="11"/>
        <v>#DIV/0!</v>
      </c>
      <c r="U55" s="105" t="e">
        <f t="shared" si="12"/>
        <v>#NUM!</v>
      </c>
      <c r="V55" s="187" t="e">
        <f t="shared" si="13"/>
        <v>#NUM!</v>
      </c>
      <c r="W55" s="204" t="e">
        <f t="shared" si="14"/>
        <v>#DIV/0!</v>
      </c>
      <c r="X55" s="204" t="e">
        <f t="shared" si="15"/>
        <v>#DIV/0!</v>
      </c>
      <c r="Y55" s="204" t="e">
        <f t="shared" si="16"/>
        <v>#DIV/0!</v>
      </c>
      <c r="Z55" s="2"/>
    </row>
    <row r="56" spans="1:26" x14ac:dyDescent="0.2">
      <c r="A56" s="201">
        <v>0</v>
      </c>
      <c r="B56" s="14">
        <f t="shared" si="20"/>
        <v>0</v>
      </c>
      <c r="C56" s="14" t="e">
        <f t="shared" si="1"/>
        <v>#NUM!</v>
      </c>
      <c r="D56" s="202" t="e">
        <f t="shared" si="21"/>
        <v>#NUM!</v>
      </c>
      <c r="E56" s="203" t="e">
        <f t="shared" si="17"/>
        <v>#DIV/0!</v>
      </c>
      <c r="F56" s="201" t="e">
        <f t="shared" si="3"/>
        <v>#DIV/0!</v>
      </c>
      <c r="G56" s="201"/>
      <c r="H56" s="207">
        <f t="shared" si="4"/>
        <v>0</v>
      </c>
      <c r="I56" s="201" t="e">
        <f t="shared" si="0"/>
        <v>#NUM!</v>
      </c>
      <c r="J56" s="204" t="e">
        <f t="shared" si="5"/>
        <v>#DIV/0!</v>
      </c>
      <c r="K56" s="204" t="e">
        <f t="shared" si="6"/>
        <v>#DIV/0!</v>
      </c>
      <c r="L56" s="204" t="e">
        <f t="shared" si="7"/>
        <v>#DIV/0!</v>
      </c>
      <c r="M56" s="277" t="e">
        <f t="shared" si="18"/>
        <v>#NUM!</v>
      </c>
      <c r="N56" s="201"/>
      <c r="O56" s="205" t="e">
        <f t="shared" si="19"/>
        <v>#DIV/0!</v>
      </c>
      <c r="P56" s="146"/>
      <c r="Q56" s="201" t="e">
        <f t="shared" si="8"/>
        <v>#DIV/0!</v>
      </c>
      <c r="R56" s="204" t="e">
        <f t="shared" si="9"/>
        <v>#DIV/0!</v>
      </c>
      <c r="S56" s="204" t="e">
        <f t="shared" si="10"/>
        <v>#DIV/0!</v>
      </c>
      <c r="T56" s="204" t="e">
        <f t="shared" si="11"/>
        <v>#DIV/0!</v>
      </c>
      <c r="U56" s="105" t="e">
        <f t="shared" si="12"/>
        <v>#NUM!</v>
      </c>
      <c r="V56" s="187" t="e">
        <f t="shared" si="13"/>
        <v>#NUM!</v>
      </c>
      <c r="W56" s="204" t="e">
        <f t="shared" si="14"/>
        <v>#DIV/0!</v>
      </c>
      <c r="X56" s="204" t="e">
        <f t="shared" si="15"/>
        <v>#DIV/0!</v>
      </c>
      <c r="Y56" s="204" t="e">
        <f t="shared" si="16"/>
        <v>#DIV/0!</v>
      </c>
      <c r="Z56" s="2"/>
    </row>
    <row r="57" spans="1:26" x14ac:dyDescent="0.2">
      <c r="A57" s="201">
        <v>0</v>
      </c>
      <c r="B57" s="14">
        <f t="shared" si="20"/>
        <v>0</v>
      </c>
      <c r="C57" s="14" t="e">
        <f t="shared" si="1"/>
        <v>#NUM!</v>
      </c>
      <c r="D57" s="202" t="e">
        <f t="shared" si="21"/>
        <v>#NUM!</v>
      </c>
      <c r="E57" s="203" t="e">
        <f t="shared" si="17"/>
        <v>#DIV/0!</v>
      </c>
      <c r="F57" s="201" t="e">
        <f t="shared" si="3"/>
        <v>#DIV/0!</v>
      </c>
      <c r="G57" s="201"/>
      <c r="H57" s="207">
        <f t="shared" si="4"/>
        <v>0</v>
      </c>
      <c r="I57" s="201" t="e">
        <f t="shared" si="0"/>
        <v>#NUM!</v>
      </c>
      <c r="J57" s="204" t="e">
        <f t="shared" si="5"/>
        <v>#DIV/0!</v>
      </c>
      <c r="K57" s="204" t="e">
        <f t="shared" si="6"/>
        <v>#DIV/0!</v>
      </c>
      <c r="L57" s="204" t="e">
        <f t="shared" si="7"/>
        <v>#DIV/0!</v>
      </c>
      <c r="M57" s="277" t="e">
        <f t="shared" si="18"/>
        <v>#NUM!</v>
      </c>
      <c r="N57" s="201"/>
      <c r="O57" s="205" t="e">
        <f t="shared" si="19"/>
        <v>#DIV/0!</v>
      </c>
      <c r="P57" s="146"/>
      <c r="Q57" s="201" t="e">
        <f t="shared" si="8"/>
        <v>#DIV/0!</v>
      </c>
      <c r="R57" s="204" t="e">
        <f t="shared" si="9"/>
        <v>#DIV/0!</v>
      </c>
      <c r="S57" s="204" t="e">
        <f t="shared" si="10"/>
        <v>#DIV/0!</v>
      </c>
      <c r="T57" s="204" t="e">
        <f t="shared" si="11"/>
        <v>#DIV/0!</v>
      </c>
      <c r="U57" s="105" t="e">
        <f t="shared" si="12"/>
        <v>#NUM!</v>
      </c>
      <c r="V57" s="187" t="e">
        <f t="shared" si="13"/>
        <v>#NUM!</v>
      </c>
      <c r="W57" s="204" t="e">
        <f t="shared" si="14"/>
        <v>#DIV/0!</v>
      </c>
      <c r="X57" s="204" t="e">
        <f t="shared" si="15"/>
        <v>#DIV/0!</v>
      </c>
      <c r="Y57" s="204" t="e">
        <f t="shared" si="16"/>
        <v>#DIV/0!</v>
      </c>
      <c r="Z57" s="2"/>
    </row>
    <row r="58" spans="1:26" x14ac:dyDescent="0.2">
      <c r="A58" s="201">
        <v>0</v>
      </c>
      <c r="B58" s="14">
        <f t="shared" si="20"/>
        <v>0</v>
      </c>
      <c r="C58" s="14" t="e">
        <f t="shared" si="1"/>
        <v>#NUM!</v>
      </c>
      <c r="D58" s="202" t="e">
        <f t="shared" si="21"/>
        <v>#NUM!</v>
      </c>
      <c r="E58" s="203" t="e">
        <f t="shared" si="17"/>
        <v>#DIV/0!</v>
      </c>
      <c r="F58" s="201" t="e">
        <f t="shared" si="3"/>
        <v>#DIV/0!</v>
      </c>
      <c r="G58" s="201"/>
      <c r="H58" s="207">
        <f t="shared" si="4"/>
        <v>0</v>
      </c>
      <c r="I58" s="201" t="e">
        <f t="shared" si="0"/>
        <v>#NUM!</v>
      </c>
      <c r="J58" s="204" t="e">
        <f t="shared" si="5"/>
        <v>#DIV/0!</v>
      </c>
      <c r="K58" s="204" t="e">
        <f t="shared" si="6"/>
        <v>#DIV/0!</v>
      </c>
      <c r="L58" s="204" t="e">
        <f t="shared" si="7"/>
        <v>#DIV/0!</v>
      </c>
      <c r="M58" s="277" t="e">
        <f t="shared" si="18"/>
        <v>#NUM!</v>
      </c>
      <c r="N58" s="201"/>
      <c r="O58" s="205" t="e">
        <f t="shared" si="19"/>
        <v>#DIV/0!</v>
      </c>
      <c r="P58" s="146"/>
      <c r="Q58" s="201" t="e">
        <f t="shared" si="8"/>
        <v>#DIV/0!</v>
      </c>
      <c r="R58" s="204" t="e">
        <f t="shared" si="9"/>
        <v>#DIV/0!</v>
      </c>
      <c r="S58" s="204" t="e">
        <f t="shared" si="10"/>
        <v>#DIV/0!</v>
      </c>
      <c r="T58" s="204" t="e">
        <f t="shared" si="11"/>
        <v>#DIV/0!</v>
      </c>
      <c r="U58" s="105" t="e">
        <f t="shared" si="12"/>
        <v>#NUM!</v>
      </c>
      <c r="V58" s="187" t="e">
        <f t="shared" si="13"/>
        <v>#NUM!</v>
      </c>
      <c r="W58" s="204" t="e">
        <f t="shared" si="14"/>
        <v>#DIV/0!</v>
      </c>
      <c r="X58" s="204" t="e">
        <f t="shared" si="15"/>
        <v>#DIV/0!</v>
      </c>
      <c r="Y58" s="204" t="e">
        <f t="shared" si="16"/>
        <v>#DIV/0!</v>
      </c>
      <c r="Z58" s="2"/>
    </row>
    <row r="59" spans="1:26" x14ac:dyDescent="0.2">
      <c r="A59" s="201">
        <v>0</v>
      </c>
      <c r="B59" s="14">
        <f t="shared" si="20"/>
        <v>0</v>
      </c>
      <c r="C59" s="14" t="e">
        <f t="shared" si="1"/>
        <v>#NUM!</v>
      </c>
      <c r="D59" s="202" t="e">
        <f t="shared" si="21"/>
        <v>#NUM!</v>
      </c>
      <c r="E59" s="203" t="e">
        <f t="shared" si="17"/>
        <v>#DIV/0!</v>
      </c>
      <c r="F59" s="201" t="e">
        <f t="shared" si="3"/>
        <v>#DIV/0!</v>
      </c>
      <c r="G59" s="201"/>
      <c r="H59" s="207">
        <f t="shared" si="4"/>
        <v>0</v>
      </c>
      <c r="I59" s="201" t="e">
        <f t="shared" si="0"/>
        <v>#NUM!</v>
      </c>
      <c r="J59" s="204" t="e">
        <f t="shared" si="5"/>
        <v>#DIV/0!</v>
      </c>
      <c r="K59" s="204" t="e">
        <f t="shared" si="6"/>
        <v>#DIV/0!</v>
      </c>
      <c r="L59" s="204" t="e">
        <f t="shared" si="7"/>
        <v>#DIV/0!</v>
      </c>
      <c r="M59" s="277" t="e">
        <f t="shared" si="18"/>
        <v>#NUM!</v>
      </c>
      <c r="N59" s="201"/>
      <c r="O59" s="205" t="e">
        <f t="shared" si="19"/>
        <v>#DIV/0!</v>
      </c>
      <c r="P59" s="146"/>
      <c r="Q59" s="201" t="e">
        <f t="shared" si="8"/>
        <v>#DIV/0!</v>
      </c>
      <c r="R59" s="204" t="e">
        <f t="shared" si="9"/>
        <v>#DIV/0!</v>
      </c>
      <c r="S59" s="204" t="e">
        <f t="shared" si="10"/>
        <v>#DIV/0!</v>
      </c>
      <c r="T59" s="204" t="e">
        <f t="shared" si="11"/>
        <v>#DIV/0!</v>
      </c>
      <c r="U59" s="105" t="e">
        <f t="shared" si="12"/>
        <v>#NUM!</v>
      </c>
      <c r="V59" s="187" t="e">
        <f t="shared" si="13"/>
        <v>#NUM!</v>
      </c>
      <c r="W59" s="204" t="e">
        <f t="shared" si="14"/>
        <v>#DIV/0!</v>
      </c>
      <c r="X59" s="204" t="e">
        <f t="shared" si="15"/>
        <v>#DIV/0!</v>
      </c>
      <c r="Y59" s="204" t="e">
        <f t="shared" si="16"/>
        <v>#DIV/0!</v>
      </c>
      <c r="Z59" s="2"/>
    </row>
    <row r="60" spans="1:26" x14ac:dyDescent="0.2">
      <c r="A60" s="201">
        <v>0</v>
      </c>
      <c r="B60" s="14">
        <f t="shared" si="20"/>
        <v>0</v>
      </c>
      <c r="C60" s="14" t="e">
        <f t="shared" si="1"/>
        <v>#NUM!</v>
      </c>
      <c r="D60" s="202" t="e">
        <f t="shared" si="21"/>
        <v>#NUM!</v>
      </c>
      <c r="E60" s="203" t="e">
        <f t="shared" si="17"/>
        <v>#DIV/0!</v>
      </c>
      <c r="F60" s="201" t="e">
        <f t="shared" si="3"/>
        <v>#DIV/0!</v>
      </c>
      <c r="G60" s="201"/>
      <c r="H60" s="207">
        <f t="shared" si="4"/>
        <v>0</v>
      </c>
      <c r="I60" s="201" t="e">
        <f t="shared" si="0"/>
        <v>#NUM!</v>
      </c>
      <c r="J60" s="204" t="e">
        <f t="shared" si="5"/>
        <v>#DIV/0!</v>
      </c>
      <c r="K60" s="204" t="e">
        <f t="shared" si="6"/>
        <v>#DIV/0!</v>
      </c>
      <c r="L60" s="204" t="e">
        <f t="shared" si="7"/>
        <v>#DIV/0!</v>
      </c>
      <c r="M60" s="277" t="e">
        <f t="shared" si="18"/>
        <v>#NUM!</v>
      </c>
      <c r="N60" s="201"/>
      <c r="O60" s="205" t="e">
        <f t="shared" si="19"/>
        <v>#DIV/0!</v>
      </c>
      <c r="P60" s="146"/>
      <c r="Q60" s="201" t="e">
        <f t="shared" si="8"/>
        <v>#DIV/0!</v>
      </c>
      <c r="R60" s="204" t="e">
        <f t="shared" si="9"/>
        <v>#DIV/0!</v>
      </c>
      <c r="S60" s="204" t="e">
        <f t="shared" si="10"/>
        <v>#DIV/0!</v>
      </c>
      <c r="T60" s="204" t="e">
        <f t="shared" si="11"/>
        <v>#DIV/0!</v>
      </c>
      <c r="U60" s="105" t="e">
        <f t="shared" si="12"/>
        <v>#NUM!</v>
      </c>
      <c r="V60" s="187" t="e">
        <f t="shared" si="13"/>
        <v>#NUM!</v>
      </c>
      <c r="W60" s="204" t="e">
        <f t="shared" si="14"/>
        <v>#DIV/0!</v>
      </c>
      <c r="X60" s="204" t="e">
        <f t="shared" si="15"/>
        <v>#DIV/0!</v>
      </c>
      <c r="Y60" s="204" t="e">
        <f t="shared" si="16"/>
        <v>#DIV/0!</v>
      </c>
      <c r="Z60" s="2"/>
    </row>
    <row r="61" spans="1:26" x14ac:dyDescent="0.2">
      <c r="A61" s="201">
        <v>0</v>
      </c>
      <c r="B61" s="14">
        <f t="shared" si="20"/>
        <v>0</v>
      </c>
      <c r="C61" s="14" t="e">
        <f t="shared" si="1"/>
        <v>#NUM!</v>
      </c>
      <c r="D61" s="202" t="e">
        <f t="shared" si="21"/>
        <v>#NUM!</v>
      </c>
      <c r="E61" s="203" t="e">
        <f t="shared" si="17"/>
        <v>#DIV/0!</v>
      </c>
      <c r="F61" s="201" t="e">
        <f t="shared" si="3"/>
        <v>#DIV/0!</v>
      </c>
      <c r="G61" s="201"/>
      <c r="H61" s="207">
        <f t="shared" si="4"/>
        <v>0</v>
      </c>
      <c r="I61" s="201" t="e">
        <f t="shared" si="0"/>
        <v>#NUM!</v>
      </c>
      <c r="J61" s="204" t="e">
        <f t="shared" si="5"/>
        <v>#DIV/0!</v>
      </c>
      <c r="K61" s="204" t="e">
        <f t="shared" si="6"/>
        <v>#DIV/0!</v>
      </c>
      <c r="L61" s="204" t="e">
        <f t="shared" si="7"/>
        <v>#DIV/0!</v>
      </c>
      <c r="M61" s="277" t="e">
        <f t="shared" si="18"/>
        <v>#NUM!</v>
      </c>
      <c r="N61" s="201"/>
      <c r="O61" s="205" t="e">
        <f t="shared" si="19"/>
        <v>#DIV/0!</v>
      </c>
      <c r="P61" s="146"/>
      <c r="Q61" s="201" t="e">
        <f t="shared" si="8"/>
        <v>#DIV/0!</v>
      </c>
      <c r="R61" s="204" t="e">
        <f t="shared" si="9"/>
        <v>#DIV/0!</v>
      </c>
      <c r="S61" s="204" t="e">
        <f t="shared" si="10"/>
        <v>#DIV/0!</v>
      </c>
      <c r="T61" s="204" t="e">
        <f t="shared" si="11"/>
        <v>#DIV/0!</v>
      </c>
      <c r="U61" s="105" t="e">
        <f t="shared" si="12"/>
        <v>#NUM!</v>
      </c>
      <c r="V61" s="187" t="e">
        <f t="shared" si="13"/>
        <v>#NUM!</v>
      </c>
      <c r="W61" s="204" t="e">
        <f t="shared" si="14"/>
        <v>#DIV/0!</v>
      </c>
      <c r="X61" s="204" t="e">
        <f t="shared" si="15"/>
        <v>#DIV/0!</v>
      </c>
      <c r="Y61" s="204" t="e">
        <f t="shared" si="16"/>
        <v>#DIV/0!</v>
      </c>
      <c r="Z61" s="2"/>
    </row>
    <row r="62" spans="1:26" x14ac:dyDescent="0.2">
      <c r="A62" s="201">
        <v>0</v>
      </c>
      <c r="B62" s="14">
        <f t="shared" si="20"/>
        <v>0</v>
      </c>
      <c r="C62" s="14" t="e">
        <f t="shared" si="1"/>
        <v>#NUM!</v>
      </c>
      <c r="D62" s="202" t="e">
        <f t="shared" si="21"/>
        <v>#NUM!</v>
      </c>
      <c r="E62" s="203" t="e">
        <f t="shared" si="17"/>
        <v>#DIV/0!</v>
      </c>
      <c r="F62" s="201" t="e">
        <f t="shared" si="3"/>
        <v>#DIV/0!</v>
      </c>
      <c r="G62" s="201"/>
      <c r="H62" s="207">
        <f t="shared" si="4"/>
        <v>0</v>
      </c>
      <c r="I62" s="201" t="e">
        <f t="shared" si="0"/>
        <v>#NUM!</v>
      </c>
      <c r="J62" s="204" t="e">
        <f t="shared" si="5"/>
        <v>#DIV/0!</v>
      </c>
      <c r="K62" s="204" t="e">
        <f t="shared" si="6"/>
        <v>#DIV/0!</v>
      </c>
      <c r="L62" s="204" t="e">
        <f t="shared" si="7"/>
        <v>#DIV/0!</v>
      </c>
      <c r="M62" s="277" t="e">
        <f t="shared" si="18"/>
        <v>#NUM!</v>
      </c>
      <c r="N62" s="201"/>
      <c r="O62" s="205" t="e">
        <f t="shared" si="19"/>
        <v>#DIV/0!</v>
      </c>
      <c r="P62" s="146"/>
      <c r="Q62" s="201" t="e">
        <f t="shared" si="8"/>
        <v>#DIV/0!</v>
      </c>
      <c r="R62" s="204" t="e">
        <f t="shared" si="9"/>
        <v>#DIV/0!</v>
      </c>
      <c r="S62" s="204" t="e">
        <f t="shared" si="10"/>
        <v>#DIV/0!</v>
      </c>
      <c r="T62" s="204" t="e">
        <f t="shared" si="11"/>
        <v>#DIV/0!</v>
      </c>
      <c r="U62" s="105" t="e">
        <f t="shared" si="12"/>
        <v>#NUM!</v>
      </c>
      <c r="V62" s="187" t="e">
        <f t="shared" si="13"/>
        <v>#NUM!</v>
      </c>
      <c r="W62" s="204" t="e">
        <f t="shared" si="14"/>
        <v>#DIV/0!</v>
      </c>
      <c r="X62" s="204" t="e">
        <f t="shared" si="15"/>
        <v>#DIV/0!</v>
      </c>
      <c r="Y62" s="204" t="e">
        <f t="shared" si="16"/>
        <v>#DIV/0!</v>
      </c>
      <c r="Z62" s="2"/>
    </row>
    <row r="63" spans="1:26" x14ac:dyDescent="0.2">
      <c r="A63" s="201">
        <v>0</v>
      </c>
      <c r="B63" s="14">
        <f t="shared" si="20"/>
        <v>0</v>
      </c>
      <c r="C63" s="14" t="e">
        <f t="shared" si="1"/>
        <v>#NUM!</v>
      </c>
      <c r="D63" s="202" t="e">
        <f t="shared" si="21"/>
        <v>#NUM!</v>
      </c>
      <c r="E63" s="203" t="e">
        <f t="shared" si="17"/>
        <v>#DIV/0!</v>
      </c>
      <c r="F63" s="201" t="e">
        <f t="shared" si="3"/>
        <v>#DIV/0!</v>
      </c>
      <c r="G63" s="201"/>
      <c r="H63" s="207">
        <f t="shared" si="4"/>
        <v>0</v>
      </c>
      <c r="I63" s="201" t="e">
        <f t="shared" si="0"/>
        <v>#NUM!</v>
      </c>
      <c r="J63" s="204" t="e">
        <f t="shared" si="5"/>
        <v>#DIV/0!</v>
      </c>
      <c r="K63" s="204" t="e">
        <f t="shared" si="6"/>
        <v>#DIV/0!</v>
      </c>
      <c r="L63" s="204" t="e">
        <f t="shared" si="7"/>
        <v>#DIV/0!</v>
      </c>
      <c r="M63" s="277" t="e">
        <f t="shared" si="18"/>
        <v>#NUM!</v>
      </c>
      <c r="N63" s="201"/>
      <c r="O63" s="205" t="e">
        <f t="shared" si="19"/>
        <v>#DIV/0!</v>
      </c>
      <c r="P63" s="146"/>
      <c r="Q63" s="201" t="e">
        <f t="shared" si="8"/>
        <v>#DIV/0!</v>
      </c>
      <c r="R63" s="204" t="e">
        <f t="shared" si="9"/>
        <v>#DIV/0!</v>
      </c>
      <c r="S63" s="204" t="e">
        <f t="shared" si="10"/>
        <v>#DIV/0!</v>
      </c>
      <c r="T63" s="204" t="e">
        <f t="shared" si="11"/>
        <v>#DIV/0!</v>
      </c>
      <c r="U63" s="105" t="e">
        <f t="shared" si="12"/>
        <v>#NUM!</v>
      </c>
      <c r="V63" s="187" t="e">
        <f t="shared" si="13"/>
        <v>#NUM!</v>
      </c>
      <c r="W63" s="204" t="e">
        <f t="shared" si="14"/>
        <v>#DIV/0!</v>
      </c>
      <c r="X63" s="204" t="e">
        <f t="shared" si="15"/>
        <v>#DIV/0!</v>
      </c>
      <c r="Y63" s="204" t="e">
        <f t="shared" si="16"/>
        <v>#DIV/0!</v>
      </c>
      <c r="Z63" s="2"/>
    </row>
    <row r="64" spans="1:26" x14ac:dyDescent="0.2">
      <c r="A64" s="201">
        <v>0</v>
      </c>
      <c r="B64" s="14">
        <f t="shared" si="20"/>
        <v>0</v>
      </c>
      <c r="C64" s="14" t="e">
        <f t="shared" si="1"/>
        <v>#NUM!</v>
      </c>
      <c r="D64" s="202" t="e">
        <f t="shared" si="21"/>
        <v>#NUM!</v>
      </c>
      <c r="E64" s="203" t="e">
        <f t="shared" si="17"/>
        <v>#DIV/0!</v>
      </c>
      <c r="F64" s="201" t="e">
        <f t="shared" si="3"/>
        <v>#DIV/0!</v>
      </c>
      <c r="G64" s="201"/>
      <c r="H64" s="207">
        <f t="shared" si="4"/>
        <v>0</v>
      </c>
      <c r="I64" s="201" t="e">
        <f t="shared" si="0"/>
        <v>#NUM!</v>
      </c>
      <c r="J64" s="204" t="e">
        <f t="shared" si="5"/>
        <v>#DIV/0!</v>
      </c>
      <c r="K64" s="204" t="e">
        <f t="shared" si="6"/>
        <v>#DIV/0!</v>
      </c>
      <c r="L64" s="204" t="e">
        <f t="shared" si="7"/>
        <v>#DIV/0!</v>
      </c>
      <c r="M64" s="277" t="e">
        <f t="shared" si="18"/>
        <v>#NUM!</v>
      </c>
      <c r="N64" s="201"/>
      <c r="O64" s="205" t="e">
        <f t="shared" si="19"/>
        <v>#DIV/0!</v>
      </c>
      <c r="P64" s="146"/>
      <c r="Q64" s="201" t="e">
        <f t="shared" si="8"/>
        <v>#DIV/0!</v>
      </c>
      <c r="R64" s="204" t="e">
        <f t="shared" si="9"/>
        <v>#DIV/0!</v>
      </c>
      <c r="S64" s="204" t="e">
        <f t="shared" si="10"/>
        <v>#DIV/0!</v>
      </c>
      <c r="T64" s="204" t="e">
        <f t="shared" si="11"/>
        <v>#DIV/0!</v>
      </c>
      <c r="U64" s="105" t="e">
        <f t="shared" si="12"/>
        <v>#NUM!</v>
      </c>
      <c r="V64" s="187" t="e">
        <f t="shared" si="13"/>
        <v>#NUM!</v>
      </c>
      <c r="W64" s="204" t="e">
        <f t="shared" si="14"/>
        <v>#DIV/0!</v>
      </c>
      <c r="X64" s="204" t="e">
        <f t="shared" si="15"/>
        <v>#DIV/0!</v>
      </c>
      <c r="Y64" s="204" t="e">
        <f t="shared" si="16"/>
        <v>#DIV/0!</v>
      </c>
      <c r="Z64" s="2"/>
    </row>
    <row r="65" spans="1:26" x14ac:dyDescent="0.2">
      <c r="A65" s="201">
        <v>0</v>
      </c>
      <c r="B65" s="14">
        <f t="shared" si="20"/>
        <v>0</v>
      </c>
      <c r="C65" s="14" t="e">
        <f t="shared" si="1"/>
        <v>#NUM!</v>
      </c>
      <c r="D65" s="202" t="e">
        <f t="shared" si="21"/>
        <v>#NUM!</v>
      </c>
      <c r="E65" s="203" t="e">
        <f t="shared" si="17"/>
        <v>#DIV/0!</v>
      </c>
      <c r="F65" s="201" t="e">
        <f t="shared" si="3"/>
        <v>#DIV/0!</v>
      </c>
      <c r="G65" s="201"/>
      <c r="H65" s="207">
        <f t="shared" si="4"/>
        <v>0</v>
      </c>
      <c r="I65" s="201" t="e">
        <f t="shared" si="0"/>
        <v>#NUM!</v>
      </c>
      <c r="J65" s="204" t="e">
        <f t="shared" si="5"/>
        <v>#DIV/0!</v>
      </c>
      <c r="K65" s="204" t="e">
        <f t="shared" si="6"/>
        <v>#DIV/0!</v>
      </c>
      <c r="L65" s="204" t="e">
        <f t="shared" si="7"/>
        <v>#DIV/0!</v>
      </c>
      <c r="M65" s="277" t="e">
        <f t="shared" si="18"/>
        <v>#NUM!</v>
      </c>
      <c r="N65" s="201"/>
      <c r="O65" s="205" t="e">
        <f t="shared" si="19"/>
        <v>#DIV/0!</v>
      </c>
      <c r="P65" s="2"/>
      <c r="Q65" s="201" t="e">
        <f t="shared" si="8"/>
        <v>#DIV/0!</v>
      </c>
      <c r="R65" s="204" t="e">
        <f t="shared" si="9"/>
        <v>#DIV/0!</v>
      </c>
      <c r="S65" s="204" t="e">
        <f t="shared" si="10"/>
        <v>#DIV/0!</v>
      </c>
      <c r="T65" s="204" t="e">
        <f t="shared" si="11"/>
        <v>#DIV/0!</v>
      </c>
      <c r="U65" s="105" t="e">
        <f t="shared" si="12"/>
        <v>#NUM!</v>
      </c>
      <c r="V65" s="187" t="e">
        <f t="shared" si="13"/>
        <v>#NUM!</v>
      </c>
      <c r="W65" s="204" t="e">
        <f t="shared" si="14"/>
        <v>#DIV/0!</v>
      </c>
      <c r="X65" s="204" t="e">
        <f t="shared" si="15"/>
        <v>#DIV/0!</v>
      </c>
      <c r="Y65" s="204" t="e">
        <f t="shared" si="16"/>
        <v>#DIV/0!</v>
      </c>
      <c r="Z65" s="2"/>
    </row>
    <row r="66" spans="1:26" x14ac:dyDescent="0.2">
      <c r="A66" s="201">
        <v>0</v>
      </c>
      <c r="B66" s="14">
        <f t="shared" si="20"/>
        <v>0</v>
      </c>
      <c r="C66" s="14" t="e">
        <f t="shared" si="1"/>
        <v>#NUM!</v>
      </c>
      <c r="D66" s="202" t="e">
        <f t="shared" si="21"/>
        <v>#NUM!</v>
      </c>
      <c r="E66" s="203" t="e">
        <f t="shared" si="17"/>
        <v>#DIV/0!</v>
      </c>
      <c r="F66" s="201" t="e">
        <f t="shared" si="3"/>
        <v>#DIV/0!</v>
      </c>
      <c r="G66" s="201"/>
      <c r="H66" s="207">
        <f t="shared" si="4"/>
        <v>0</v>
      </c>
      <c r="I66" s="201" t="e">
        <f t="shared" si="0"/>
        <v>#NUM!</v>
      </c>
      <c r="J66" s="204" t="e">
        <f t="shared" si="5"/>
        <v>#DIV/0!</v>
      </c>
      <c r="K66" s="204" t="e">
        <f t="shared" si="6"/>
        <v>#DIV/0!</v>
      </c>
      <c r="L66" s="204" t="e">
        <f t="shared" si="7"/>
        <v>#DIV/0!</v>
      </c>
      <c r="M66" s="277" t="e">
        <f t="shared" si="18"/>
        <v>#NUM!</v>
      </c>
      <c r="N66" s="201"/>
      <c r="O66" s="205" t="e">
        <f t="shared" si="19"/>
        <v>#DIV/0!</v>
      </c>
      <c r="P66" s="2"/>
      <c r="Q66" s="201" t="e">
        <f t="shared" si="8"/>
        <v>#DIV/0!</v>
      </c>
      <c r="R66" s="204" t="e">
        <f t="shared" si="9"/>
        <v>#DIV/0!</v>
      </c>
      <c r="S66" s="204" t="e">
        <f t="shared" si="10"/>
        <v>#DIV/0!</v>
      </c>
      <c r="T66" s="204" t="e">
        <f t="shared" si="11"/>
        <v>#DIV/0!</v>
      </c>
      <c r="U66" s="105" t="e">
        <f t="shared" si="12"/>
        <v>#NUM!</v>
      </c>
      <c r="V66" s="187" t="e">
        <f t="shared" si="13"/>
        <v>#NUM!</v>
      </c>
      <c r="W66" s="204" t="e">
        <f t="shared" si="14"/>
        <v>#DIV/0!</v>
      </c>
      <c r="X66" s="204" t="e">
        <f t="shared" si="15"/>
        <v>#DIV/0!</v>
      </c>
      <c r="Y66" s="204" t="e">
        <f t="shared" si="16"/>
        <v>#DIV/0!</v>
      </c>
      <c r="Z66" s="2"/>
    </row>
    <row r="67" spans="1:26" x14ac:dyDescent="0.2">
      <c r="A67" s="201">
        <v>0</v>
      </c>
      <c r="B67" s="14">
        <f t="shared" si="20"/>
        <v>0</v>
      </c>
      <c r="C67" s="14" t="e">
        <f t="shared" si="1"/>
        <v>#NUM!</v>
      </c>
      <c r="D67" s="202" t="e">
        <f t="shared" si="21"/>
        <v>#NUM!</v>
      </c>
      <c r="E67" s="203" t="e">
        <f t="shared" si="17"/>
        <v>#DIV/0!</v>
      </c>
      <c r="F67" s="201" t="e">
        <f t="shared" si="3"/>
        <v>#DIV/0!</v>
      </c>
      <c r="G67" s="201"/>
      <c r="H67" s="207">
        <f t="shared" si="4"/>
        <v>0</v>
      </c>
      <c r="I67" s="201" t="e">
        <f t="shared" si="0"/>
        <v>#NUM!</v>
      </c>
      <c r="J67" s="204" t="e">
        <f t="shared" si="5"/>
        <v>#DIV/0!</v>
      </c>
      <c r="K67" s="204" t="e">
        <f t="shared" si="6"/>
        <v>#DIV/0!</v>
      </c>
      <c r="L67" s="204" t="e">
        <f t="shared" si="7"/>
        <v>#DIV/0!</v>
      </c>
      <c r="M67" s="277" t="e">
        <f t="shared" si="18"/>
        <v>#NUM!</v>
      </c>
      <c r="N67" s="201"/>
      <c r="O67" s="205" t="e">
        <f t="shared" si="19"/>
        <v>#DIV/0!</v>
      </c>
      <c r="P67" s="2"/>
      <c r="Q67" s="201" t="e">
        <f t="shared" si="8"/>
        <v>#DIV/0!</v>
      </c>
      <c r="R67" s="204" t="e">
        <f t="shared" si="9"/>
        <v>#DIV/0!</v>
      </c>
      <c r="S67" s="204" t="e">
        <f t="shared" si="10"/>
        <v>#DIV/0!</v>
      </c>
      <c r="T67" s="204" t="e">
        <f t="shared" si="11"/>
        <v>#DIV/0!</v>
      </c>
      <c r="U67" s="105" t="e">
        <f t="shared" si="12"/>
        <v>#NUM!</v>
      </c>
      <c r="V67" s="187" t="e">
        <f t="shared" si="13"/>
        <v>#NUM!</v>
      </c>
      <c r="W67" s="204" t="e">
        <f t="shared" si="14"/>
        <v>#DIV/0!</v>
      </c>
      <c r="X67" s="204" t="e">
        <f t="shared" si="15"/>
        <v>#DIV/0!</v>
      </c>
      <c r="Y67" s="204" t="e">
        <f t="shared" si="16"/>
        <v>#DIV/0!</v>
      </c>
      <c r="Z67" s="2"/>
    </row>
    <row r="68" spans="1:26" x14ac:dyDescent="0.2">
      <c r="A68" s="201">
        <v>0</v>
      </c>
      <c r="B68" s="14">
        <f t="shared" si="20"/>
        <v>0</v>
      </c>
      <c r="C68" s="14" t="e">
        <f t="shared" si="1"/>
        <v>#NUM!</v>
      </c>
      <c r="D68" s="202" t="e">
        <f t="shared" si="21"/>
        <v>#NUM!</v>
      </c>
      <c r="E68" s="203" t="e">
        <f t="shared" si="17"/>
        <v>#DIV/0!</v>
      </c>
      <c r="F68" s="201" t="e">
        <f t="shared" si="3"/>
        <v>#DIV/0!</v>
      </c>
      <c r="G68" s="201"/>
      <c r="H68" s="207">
        <f t="shared" si="4"/>
        <v>0</v>
      </c>
      <c r="I68" s="201" t="e">
        <f t="shared" si="0"/>
        <v>#NUM!</v>
      </c>
      <c r="J68" s="204" t="e">
        <f t="shared" si="5"/>
        <v>#DIV/0!</v>
      </c>
      <c r="K68" s="204" t="e">
        <f t="shared" si="6"/>
        <v>#DIV/0!</v>
      </c>
      <c r="L68" s="204" t="e">
        <f t="shared" si="7"/>
        <v>#DIV/0!</v>
      </c>
      <c r="M68" s="277" t="e">
        <f t="shared" si="18"/>
        <v>#NUM!</v>
      </c>
      <c r="N68" s="201"/>
      <c r="O68" s="205" t="e">
        <f t="shared" si="19"/>
        <v>#DIV/0!</v>
      </c>
      <c r="P68" s="2"/>
      <c r="Q68" s="201" t="e">
        <f t="shared" si="8"/>
        <v>#DIV/0!</v>
      </c>
      <c r="R68" s="204" t="e">
        <f t="shared" si="9"/>
        <v>#DIV/0!</v>
      </c>
      <c r="S68" s="204" t="e">
        <f t="shared" si="10"/>
        <v>#DIV/0!</v>
      </c>
      <c r="T68" s="204" t="e">
        <f t="shared" si="11"/>
        <v>#DIV/0!</v>
      </c>
      <c r="U68" s="105" t="e">
        <f t="shared" si="12"/>
        <v>#NUM!</v>
      </c>
      <c r="V68" s="187" t="e">
        <f t="shared" si="13"/>
        <v>#NUM!</v>
      </c>
      <c r="W68" s="204" t="e">
        <f t="shared" si="14"/>
        <v>#DIV/0!</v>
      </c>
      <c r="X68" s="204" t="e">
        <f t="shared" si="15"/>
        <v>#DIV/0!</v>
      </c>
      <c r="Y68" s="204" t="e">
        <f t="shared" si="16"/>
        <v>#DIV/0!</v>
      </c>
      <c r="Z68" s="2"/>
    </row>
    <row r="69" spans="1:26" x14ac:dyDescent="0.2">
      <c r="A69" s="201">
        <v>0</v>
      </c>
      <c r="B69" s="14">
        <f t="shared" si="20"/>
        <v>0</v>
      </c>
      <c r="C69" s="14" t="e">
        <f t="shared" si="1"/>
        <v>#NUM!</v>
      </c>
      <c r="D69" s="202" t="e">
        <f t="shared" si="21"/>
        <v>#NUM!</v>
      </c>
      <c r="E69" s="203" t="e">
        <f t="shared" si="17"/>
        <v>#DIV/0!</v>
      </c>
      <c r="F69" s="201" t="e">
        <f t="shared" si="3"/>
        <v>#DIV/0!</v>
      </c>
      <c r="G69" s="201"/>
      <c r="H69" s="207">
        <f t="shared" si="4"/>
        <v>0</v>
      </c>
      <c r="I69" s="201" t="e">
        <f t="shared" si="0"/>
        <v>#NUM!</v>
      </c>
      <c r="J69" s="204" t="e">
        <f t="shared" si="5"/>
        <v>#DIV/0!</v>
      </c>
      <c r="K69" s="204" t="e">
        <f t="shared" si="6"/>
        <v>#DIV/0!</v>
      </c>
      <c r="L69" s="204" t="e">
        <f t="shared" si="7"/>
        <v>#DIV/0!</v>
      </c>
      <c r="M69" s="277" t="e">
        <f t="shared" si="18"/>
        <v>#NUM!</v>
      </c>
      <c r="N69" s="201"/>
      <c r="O69" s="205" t="e">
        <f t="shared" si="19"/>
        <v>#DIV/0!</v>
      </c>
      <c r="P69" s="2"/>
      <c r="Q69" s="201" t="e">
        <f t="shared" si="8"/>
        <v>#DIV/0!</v>
      </c>
      <c r="R69" s="204" t="e">
        <f t="shared" si="9"/>
        <v>#DIV/0!</v>
      </c>
      <c r="S69" s="204" t="e">
        <f t="shared" si="10"/>
        <v>#DIV/0!</v>
      </c>
      <c r="T69" s="204" t="e">
        <f t="shared" si="11"/>
        <v>#DIV/0!</v>
      </c>
      <c r="U69" s="105" t="e">
        <f t="shared" si="12"/>
        <v>#NUM!</v>
      </c>
      <c r="V69" s="187" t="e">
        <f t="shared" si="13"/>
        <v>#NUM!</v>
      </c>
      <c r="W69" s="204" t="e">
        <f t="shared" si="14"/>
        <v>#DIV/0!</v>
      </c>
      <c r="X69" s="204" t="e">
        <f t="shared" si="15"/>
        <v>#DIV/0!</v>
      </c>
      <c r="Y69" s="204" t="e">
        <f t="shared" si="16"/>
        <v>#DIV/0!</v>
      </c>
      <c r="Z69" s="2"/>
    </row>
    <row r="70" spans="1:26" x14ac:dyDescent="0.2">
      <c r="A70" s="201">
        <v>0</v>
      </c>
      <c r="B70" s="14">
        <f t="shared" si="20"/>
        <v>0</v>
      </c>
      <c r="C70" s="14" t="e">
        <f t="shared" si="1"/>
        <v>#NUM!</v>
      </c>
      <c r="D70" s="202" t="e">
        <f t="shared" si="21"/>
        <v>#NUM!</v>
      </c>
      <c r="E70" s="203" t="e">
        <f t="shared" si="17"/>
        <v>#DIV/0!</v>
      </c>
      <c r="F70" s="201" t="e">
        <f t="shared" si="3"/>
        <v>#DIV/0!</v>
      </c>
      <c r="G70" s="201"/>
      <c r="H70" s="207">
        <f t="shared" si="4"/>
        <v>0</v>
      </c>
      <c r="I70" s="201" t="e">
        <f t="shared" si="0"/>
        <v>#NUM!</v>
      </c>
      <c r="J70" s="204" t="e">
        <f t="shared" si="5"/>
        <v>#DIV/0!</v>
      </c>
      <c r="K70" s="204" t="e">
        <f t="shared" si="6"/>
        <v>#DIV/0!</v>
      </c>
      <c r="L70" s="204" t="e">
        <f t="shared" si="7"/>
        <v>#DIV/0!</v>
      </c>
      <c r="M70" s="277" t="e">
        <f t="shared" si="18"/>
        <v>#NUM!</v>
      </c>
      <c r="N70" s="201"/>
      <c r="O70" s="205" t="e">
        <f t="shared" si="19"/>
        <v>#DIV/0!</v>
      </c>
      <c r="P70" s="2"/>
      <c r="Q70" s="201" t="e">
        <f t="shared" si="8"/>
        <v>#DIV/0!</v>
      </c>
      <c r="R70" s="204" t="e">
        <f t="shared" si="9"/>
        <v>#DIV/0!</v>
      </c>
      <c r="S70" s="204" t="e">
        <f t="shared" si="10"/>
        <v>#DIV/0!</v>
      </c>
      <c r="T70" s="204" t="e">
        <f t="shared" si="11"/>
        <v>#DIV/0!</v>
      </c>
      <c r="U70" s="105" t="e">
        <f t="shared" si="12"/>
        <v>#NUM!</v>
      </c>
      <c r="V70" s="187" t="e">
        <f t="shared" si="13"/>
        <v>#NUM!</v>
      </c>
      <c r="W70" s="204" t="e">
        <f t="shared" si="14"/>
        <v>#DIV/0!</v>
      </c>
      <c r="X70" s="204" t="e">
        <f t="shared" si="15"/>
        <v>#DIV/0!</v>
      </c>
      <c r="Y70" s="204" t="e">
        <f t="shared" si="16"/>
        <v>#DIV/0!</v>
      </c>
      <c r="Z70" s="2"/>
    </row>
    <row r="71" spans="1:26" x14ac:dyDescent="0.2">
      <c r="A71" s="201">
        <v>0</v>
      </c>
      <c r="B71" s="14">
        <f t="shared" si="20"/>
        <v>0</v>
      </c>
      <c r="C71" s="14" t="e">
        <f t="shared" si="1"/>
        <v>#NUM!</v>
      </c>
      <c r="D71" s="202" t="e">
        <f t="shared" si="21"/>
        <v>#NUM!</v>
      </c>
      <c r="E71" s="203" t="e">
        <f t="shared" si="17"/>
        <v>#DIV/0!</v>
      </c>
      <c r="F71" s="201" t="e">
        <f t="shared" si="3"/>
        <v>#DIV/0!</v>
      </c>
      <c r="G71" s="201"/>
      <c r="H71" s="207">
        <f t="shared" si="4"/>
        <v>0</v>
      </c>
      <c r="I71" s="201" t="e">
        <f t="shared" si="0"/>
        <v>#NUM!</v>
      </c>
      <c r="J71" s="204" t="e">
        <f t="shared" si="5"/>
        <v>#DIV/0!</v>
      </c>
      <c r="K71" s="204" t="e">
        <f t="shared" si="6"/>
        <v>#DIV/0!</v>
      </c>
      <c r="L71" s="204" t="e">
        <f t="shared" si="7"/>
        <v>#DIV/0!</v>
      </c>
      <c r="M71" s="277" t="e">
        <f t="shared" si="18"/>
        <v>#NUM!</v>
      </c>
      <c r="N71" s="201"/>
      <c r="O71" s="205" t="e">
        <f t="shared" si="19"/>
        <v>#DIV/0!</v>
      </c>
      <c r="P71" s="2"/>
      <c r="Q71" s="201" t="e">
        <f t="shared" si="8"/>
        <v>#DIV/0!</v>
      </c>
      <c r="R71" s="204" t="e">
        <f t="shared" si="9"/>
        <v>#DIV/0!</v>
      </c>
      <c r="S71" s="204" t="e">
        <f t="shared" si="10"/>
        <v>#DIV/0!</v>
      </c>
      <c r="T71" s="204" t="e">
        <f t="shared" si="11"/>
        <v>#DIV/0!</v>
      </c>
      <c r="U71" s="105" t="e">
        <f t="shared" si="12"/>
        <v>#NUM!</v>
      </c>
      <c r="V71" s="187" t="e">
        <f t="shared" si="13"/>
        <v>#NUM!</v>
      </c>
      <c r="W71" s="204" t="e">
        <f t="shared" si="14"/>
        <v>#DIV/0!</v>
      </c>
      <c r="X71" s="204" t="e">
        <f t="shared" si="15"/>
        <v>#DIV/0!</v>
      </c>
      <c r="Y71" s="204" t="e">
        <f t="shared" si="16"/>
        <v>#DIV/0!</v>
      </c>
      <c r="Z71" s="2"/>
    </row>
    <row r="72" spans="1:26" x14ac:dyDescent="0.2">
      <c r="A72" s="201">
        <v>0</v>
      </c>
      <c r="B72" s="14">
        <f t="shared" si="20"/>
        <v>0</v>
      </c>
      <c r="C72" s="14" t="e">
        <f t="shared" si="1"/>
        <v>#NUM!</v>
      </c>
      <c r="D72" s="202" t="e">
        <f t="shared" si="21"/>
        <v>#NUM!</v>
      </c>
      <c r="E72" s="203" t="e">
        <f t="shared" si="17"/>
        <v>#DIV/0!</v>
      </c>
      <c r="F72" s="201" t="e">
        <f t="shared" si="3"/>
        <v>#DIV/0!</v>
      </c>
      <c r="G72" s="201"/>
      <c r="H72" s="207">
        <f t="shared" si="4"/>
        <v>0</v>
      </c>
      <c r="I72" s="201" t="e">
        <f t="shared" si="0"/>
        <v>#NUM!</v>
      </c>
      <c r="J72" s="204" t="e">
        <f t="shared" si="5"/>
        <v>#DIV/0!</v>
      </c>
      <c r="K72" s="204" t="e">
        <f t="shared" si="6"/>
        <v>#DIV/0!</v>
      </c>
      <c r="L72" s="204" t="e">
        <f t="shared" si="7"/>
        <v>#DIV/0!</v>
      </c>
      <c r="M72" s="277" t="e">
        <f t="shared" si="18"/>
        <v>#NUM!</v>
      </c>
      <c r="N72" s="201"/>
      <c r="O72" s="205" t="e">
        <f t="shared" si="19"/>
        <v>#DIV/0!</v>
      </c>
      <c r="P72" s="2"/>
      <c r="Q72" s="201" t="e">
        <f t="shared" si="8"/>
        <v>#DIV/0!</v>
      </c>
      <c r="R72" s="204" t="e">
        <f t="shared" si="9"/>
        <v>#DIV/0!</v>
      </c>
      <c r="S72" s="204" t="e">
        <f t="shared" si="10"/>
        <v>#DIV/0!</v>
      </c>
      <c r="T72" s="204" t="e">
        <f t="shared" si="11"/>
        <v>#DIV/0!</v>
      </c>
      <c r="U72" s="105" t="e">
        <f t="shared" si="12"/>
        <v>#NUM!</v>
      </c>
      <c r="V72" s="187" t="e">
        <f t="shared" si="13"/>
        <v>#NUM!</v>
      </c>
      <c r="W72" s="204" t="e">
        <f t="shared" si="14"/>
        <v>#DIV/0!</v>
      </c>
      <c r="X72" s="204" t="e">
        <f t="shared" si="15"/>
        <v>#DIV/0!</v>
      </c>
      <c r="Y72" s="204" t="e">
        <f t="shared" si="16"/>
        <v>#DIV/0!</v>
      </c>
      <c r="Z72" s="2"/>
    </row>
    <row r="73" spans="1:26" x14ac:dyDescent="0.2">
      <c r="A73" s="201">
        <v>0</v>
      </c>
      <c r="B73" s="14">
        <f t="shared" si="20"/>
        <v>0</v>
      </c>
      <c r="C73" s="14" t="e">
        <f t="shared" si="1"/>
        <v>#NUM!</v>
      </c>
      <c r="D73" s="202" t="e">
        <f t="shared" si="21"/>
        <v>#NUM!</v>
      </c>
      <c r="E73" s="203" t="e">
        <f t="shared" si="17"/>
        <v>#DIV/0!</v>
      </c>
      <c r="F73" s="201" t="e">
        <f t="shared" si="3"/>
        <v>#DIV/0!</v>
      </c>
      <c r="G73" s="201"/>
      <c r="H73" s="207">
        <f t="shared" si="4"/>
        <v>0</v>
      </c>
      <c r="I73" s="201" t="e">
        <f t="shared" si="0"/>
        <v>#NUM!</v>
      </c>
      <c r="J73" s="204" t="e">
        <f t="shared" si="5"/>
        <v>#DIV/0!</v>
      </c>
      <c r="K73" s="204" t="e">
        <f t="shared" si="6"/>
        <v>#DIV/0!</v>
      </c>
      <c r="L73" s="204" t="e">
        <f t="shared" si="7"/>
        <v>#DIV/0!</v>
      </c>
      <c r="M73" s="277" t="e">
        <f t="shared" si="18"/>
        <v>#NUM!</v>
      </c>
      <c r="N73" s="201"/>
      <c r="O73" s="205" t="e">
        <f t="shared" si="19"/>
        <v>#DIV/0!</v>
      </c>
      <c r="P73" s="2"/>
      <c r="Q73" s="201" t="e">
        <f t="shared" si="8"/>
        <v>#DIV/0!</v>
      </c>
      <c r="R73" s="204" t="e">
        <f t="shared" si="9"/>
        <v>#DIV/0!</v>
      </c>
      <c r="S73" s="204" t="e">
        <f t="shared" si="10"/>
        <v>#DIV/0!</v>
      </c>
      <c r="T73" s="204" t="e">
        <f t="shared" si="11"/>
        <v>#DIV/0!</v>
      </c>
      <c r="U73" s="105" t="e">
        <f t="shared" si="12"/>
        <v>#NUM!</v>
      </c>
      <c r="V73" s="187" t="e">
        <f t="shared" si="13"/>
        <v>#NUM!</v>
      </c>
      <c r="W73" s="204" t="e">
        <f t="shared" si="14"/>
        <v>#DIV/0!</v>
      </c>
      <c r="X73" s="204" t="e">
        <f t="shared" si="15"/>
        <v>#DIV/0!</v>
      </c>
      <c r="Y73" s="204" t="e">
        <f t="shared" si="16"/>
        <v>#DIV/0!</v>
      </c>
      <c r="Z73" s="2"/>
    </row>
    <row r="74" spans="1:26" x14ac:dyDescent="0.2">
      <c r="A74" s="201">
        <v>0</v>
      </c>
      <c r="B74" s="14">
        <f t="shared" si="20"/>
        <v>0</v>
      </c>
      <c r="C74" s="14" t="e">
        <f t="shared" si="1"/>
        <v>#NUM!</v>
      </c>
      <c r="D74" s="202" t="e">
        <f t="shared" si="21"/>
        <v>#NUM!</v>
      </c>
      <c r="E74" s="203" t="e">
        <f t="shared" si="17"/>
        <v>#DIV/0!</v>
      </c>
      <c r="F74" s="201" t="e">
        <f t="shared" si="3"/>
        <v>#DIV/0!</v>
      </c>
      <c r="G74" s="201"/>
      <c r="H74" s="207">
        <f t="shared" si="4"/>
        <v>0</v>
      </c>
      <c r="I74" s="201" t="e">
        <f t="shared" si="0"/>
        <v>#NUM!</v>
      </c>
      <c r="J74" s="204" t="e">
        <f t="shared" si="5"/>
        <v>#DIV/0!</v>
      </c>
      <c r="K74" s="204" t="e">
        <f t="shared" si="6"/>
        <v>#DIV/0!</v>
      </c>
      <c r="L74" s="204" t="e">
        <f t="shared" si="7"/>
        <v>#DIV/0!</v>
      </c>
      <c r="M74" s="277" t="e">
        <f t="shared" si="18"/>
        <v>#NUM!</v>
      </c>
      <c r="N74" s="201"/>
      <c r="O74" s="205" t="e">
        <f t="shared" si="19"/>
        <v>#DIV/0!</v>
      </c>
      <c r="P74" s="2"/>
      <c r="Q74" s="201" t="e">
        <f t="shared" si="8"/>
        <v>#DIV/0!</v>
      </c>
      <c r="R74" s="204" t="e">
        <f t="shared" si="9"/>
        <v>#DIV/0!</v>
      </c>
      <c r="S74" s="204" t="e">
        <f t="shared" si="10"/>
        <v>#DIV/0!</v>
      </c>
      <c r="T74" s="204" t="e">
        <f t="shared" si="11"/>
        <v>#DIV/0!</v>
      </c>
      <c r="U74" s="105" t="e">
        <f t="shared" si="12"/>
        <v>#NUM!</v>
      </c>
      <c r="V74" s="187" t="e">
        <f t="shared" si="13"/>
        <v>#NUM!</v>
      </c>
      <c r="W74" s="204" t="e">
        <f t="shared" si="14"/>
        <v>#DIV/0!</v>
      </c>
      <c r="X74" s="204" t="e">
        <f t="shared" si="15"/>
        <v>#DIV/0!</v>
      </c>
      <c r="Y74" s="204" t="e">
        <f t="shared" si="16"/>
        <v>#DIV/0!</v>
      </c>
      <c r="Z74" s="2"/>
    </row>
    <row r="75" spans="1:26" x14ac:dyDescent="0.2">
      <c r="A75" s="201">
        <v>0</v>
      </c>
      <c r="B75" s="14">
        <f t="shared" si="20"/>
        <v>0</v>
      </c>
      <c r="C75" s="14" t="e">
        <f t="shared" si="1"/>
        <v>#NUM!</v>
      </c>
      <c r="D75" s="202" t="e">
        <f t="shared" si="21"/>
        <v>#NUM!</v>
      </c>
      <c r="E75" s="203" t="e">
        <f t="shared" si="17"/>
        <v>#DIV/0!</v>
      </c>
      <c r="F75" s="201" t="e">
        <f t="shared" si="3"/>
        <v>#DIV/0!</v>
      </c>
      <c r="G75" s="201"/>
      <c r="H75" s="207">
        <f t="shared" si="4"/>
        <v>0</v>
      </c>
      <c r="I75" s="201" t="e">
        <f t="shared" si="0"/>
        <v>#NUM!</v>
      </c>
      <c r="J75" s="204" t="e">
        <f t="shared" si="5"/>
        <v>#DIV/0!</v>
      </c>
      <c r="K75" s="204" t="e">
        <f t="shared" si="6"/>
        <v>#DIV/0!</v>
      </c>
      <c r="L75" s="204" t="e">
        <f t="shared" si="7"/>
        <v>#DIV/0!</v>
      </c>
      <c r="M75" s="277" t="e">
        <f t="shared" si="18"/>
        <v>#NUM!</v>
      </c>
      <c r="N75" s="201"/>
      <c r="O75" s="205" t="e">
        <f t="shared" si="19"/>
        <v>#DIV/0!</v>
      </c>
      <c r="P75" s="2"/>
      <c r="Q75" s="201" t="e">
        <f t="shared" si="8"/>
        <v>#DIV/0!</v>
      </c>
      <c r="R75" s="204" t="e">
        <f t="shared" si="9"/>
        <v>#DIV/0!</v>
      </c>
      <c r="S75" s="204" t="e">
        <f t="shared" si="10"/>
        <v>#DIV/0!</v>
      </c>
      <c r="T75" s="204" t="e">
        <f t="shared" si="11"/>
        <v>#DIV/0!</v>
      </c>
      <c r="U75" s="105" t="e">
        <f t="shared" si="12"/>
        <v>#NUM!</v>
      </c>
      <c r="V75" s="187" t="e">
        <f t="shared" si="13"/>
        <v>#NUM!</v>
      </c>
      <c r="W75" s="204" t="e">
        <f t="shared" si="14"/>
        <v>#DIV/0!</v>
      </c>
      <c r="X75" s="204" t="e">
        <f t="shared" si="15"/>
        <v>#DIV/0!</v>
      </c>
      <c r="Y75" s="204" t="e">
        <f t="shared" si="16"/>
        <v>#DIV/0!</v>
      </c>
      <c r="Z75" s="2"/>
    </row>
    <row r="76" spans="1:26" x14ac:dyDescent="0.2">
      <c r="A76" s="201">
        <v>0</v>
      </c>
      <c r="B76" s="14">
        <f t="shared" si="20"/>
        <v>0</v>
      </c>
      <c r="C76" s="14" t="e">
        <f t="shared" si="1"/>
        <v>#NUM!</v>
      </c>
      <c r="D76" s="202" t="e">
        <f t="shared" si="21"/>
        <v>#NUM!</v>
      </c>
      <c r="E76" s="203" t="e">
        <f t="shared" si="17"/>
        <v>#DIV/0!</v>
      </c>
      <c r="F76" s="201" t="e">
        <f t="shared" si="3"/>
        <v>#DIV/0!</v>
      </c>
      <c r="G76" s="201"/>
      <c r="H76" s="207">
        <f t="shared" si="4"/>
        <v>0</v>
      </c>
      <c r="I76" s="201" t="e">
        <f t="shared" si="0"/>
        <v>#NUM!</v>
      </c>
      <c r="J76" s="204" t="e">
        <f t="shared" si="5"/>
        <v>#DIV/0!</v>
      </c>
      <c r="K76" s="204" t="e">
        <f t="shared" si="6"/>
        <v>#DIV/0!</v>
      </c>
      <c r="L76" s="204" t="e">
        <f t="shared" si="7"/>
        <v>#DIV/0!</v>
      </c>
      <c r="M76" s="277" t="e">
        <f t="shared" si="18"/>
        <v>#NUM!</v>
      </c>
      <c r="N76" s="201"/>
      <c r="O76" s="205" t="e">
        <f t="shared" si="19"/>
        <v>#DIV/0!</v>
      </c>
      <c r="P76" s="2"/>
      <c r="Q76" s="201" t="e">
        <f t="shared" si="8"/>
        <v>#DIV/0!</v>
      </c>
      <c r="R76" s="204" t="e">
        <f t="shared" si="9"/>
        <v>#DIV/0!</v>
      </c>
      <c r="S76" s="204" t="e">
        <f t="shared" si="10"/>
        <v>#DIV/0!</v>
      </c>
      <c r="T76" s="204" t="e">
        <f t="shared" si="11"/>
        <v>#DIV/0!</v>
      </c>
      <c r="U76" s="105" t="e">
        <f t="shared" si="12"/>
        <v>#NUM!</v>
      </c>
      <c r="V76" s="187" t="e">
        <f t="shared" si="13"/>
        <v>#NUM!</v>
      </c>
      <c r="W76" s="204" t="e">
        <f t="shared" si="14"/>
        <v>#DIV/0!</v>
      </c>
      <c r="X76" s="204" t="e">
        <f t="shared" si="15"/>
        <v>#DIV/0!</v>
      </c>
      <c r="Y76" s="204" t="e">
        <f t="shared" si="16"/>
        <v>#DIV/0!</v>
      </c>
      <c r="Z76" s="2"/>
    </row>
    <row r="77" spans="1:26" x14ac:dyDescent="0.2">
      <c r="A77" s="201">
        <v>0</v>
      </c>
      <c r="B77" s="14">
        <f t="shared" si="20"/>
        <v>0</v>
      </c>
      <c r="C77" s="14" t="e">
        <f t="shared" si="1"/>
        <v>#NUM!</v>
      </c>
      <c r="D77" s="202" t="e">
        <f t="shared" si="21"/>
        <v>#NUM!</v>
      </c>
      <c r="E77" s="203" t="e">
        <f t="shared" si="17"/>
        <v>#DIV/0!</v>
      </c>
      <c r="F77" s="201" t="e">
        <f t="shared" si="3"/>
        <v>#DIV/0!</v>
      </c>
      <c r="G77" s="201"/>
      <c r="H77" s="207">
        <f t="shared" si="4"/>
        <v>0</v>
      </c>
      <c r="I77" s="201" t="e">
        <f t="shared" si="0"/>
        <v>#NUM!</v>
      </c>
      <c r="J77" s="204" t="e">
        <f t="shared" si="5"/>
        <v>#DIV/0!</v>
      </c>
      <c r="K77" s="204" t="e">
        <f t="shared" si="6"/>
        <v>#DIV/0!</v>
      </c>
      <c r="L77" s="204" t="e">
        <f t="shared" si="7"/>
        <v>#DIV/0!</v>
      </c>
      <c r="M77" s="277" t="e">
        <f t="shared" si="18"/>
        <v>#NUM!</v>
      </c>
      <c r="N77" s="201"/>
      <c r="O77" s="205" t="e">
        <f t="shared" si="19"/>
        <v>#DIV/0!</v>
      </c>
      <c r="P77" s="2"/>
      <c r="Q77" s="201" t="e">
        <f t="shared" si="8"/>
        <v>#DIV/0!</v>
      </c>
      <c r="R77" s="204" t="e">
        <f t="shared" si="9"/>
        <v>#DIV/0!</v>
      </c>
      <c r="S77" s="204" t="e">
        <f t="shared" si="10"/>
        <v>#DIV/0!</v>
      </c>
      <c r="T77" s="204" t="e">
        <f t="shared" si="11"/>
        <v>#DIV/0!</v>
      </c>
      <c r="U77" s="105" t="e">
        <f t="shared" si="12"/>
        <v>#NUM!</v>
      </c>
      <c r="V77" s="187" t="e">
        <f t="shared" si="13"/>
        <v>#NUM!</v>
      </c>
      <c r="W77" s="204" t="e">
        <f t="shared" si="14"/>
        <v>#DIV/0!</v>
      </c>
      <c r="X77" s="204" t="e">
        <f t="shared" si="15"/>
        <v>#DIV/0!</v>
      </c>
      <c r="Y77" s="204" t="e">
        <f t="shared" si="16"/>
        <v>#DIV/0!</v>
      </c>
      <c r="Z77" s="2"/>
    </row>
    <row r="78" spans="1:26" x14ac:dyDescent="0.2">
      <c r="A78" s="201">
        <v>0</v>
      </c>
      <c r="B78" s="14">
        <f t="shared" si="20"/>
        <v>0</v>
      </c>
      <c r="C78" s="14" t="e">
        <f t="shared" si="1"/>
        <v>#NUM!</v>
      </c>
      <c r="D78" s="202" t="e">
        <f t="shared" si="21"/>
        <v>#NUM!</v>
      </c>
      <c r="E78" s="203" t="e">
        <f t="shared" si="17"/>
        <v>#DIV/0!</v>
      </c>
      <c r="F78" s="201" t="e">
        <f t="shared" si="3"/>
        <v>#DIV/0!</v>
      </c>
      <c r="G78" s="201"/>
      <c r="H78" s="207">
        <f t="shared" si="4"/>
        <v>0</v>
      </c>
      <c r="I78" s="201" t="e">
        <f t="shared" si="0"/>
        <v>#NUM!</v>
      </c>
      <c r="J78" s="204" t="e">
        <f t="shared" si="5"/>
        <v>#DIV/0!</v>
      </c>
      <c r="K78" s="204" t="e">
        <f t="shared" si="6"/>
        <v>#DIV/0!</v>
      </c>
      <c r="L78" s="204" t="e">
        <f t="shared" si="7"/>
        <v>#DIV/0!</v>
      </c>
      <c r="M78" s="277" t="e">
        <f t="shared" si="18"/>
        <v>#NUM!</v>
      </c>
      <c r="N78" s="201"/>
      <c r="O78" s="205" t="e">
        <f t="shared" si="19"/>
        <v>#DIV/0!</v>
      </c>
      <c r="P78" s="2"/>
      <c r="Q78" s="201" t="e">
        <f t="shared" si="8"/>
        <v>#DIV/0!</v>
      </c>
      <c r="R78" s="204" t="e">
        <f t="shared" si="9"/>
        <v>#DIV/0!</v>
      </c>
      <c r="S78" s="204" t="e">
        <f t="shared" si="10"/>
        <v>#DIV/0!</v>
      </c>
      <c r="T78" s="204" t="e">
        <f t="shared" si="11"/>
        <v>#DIV/0!</v>
      </c>
      <c r="U78" s="105" t="e">
        <f t="shared" si="12"/>
        <v>#NUM!</v>
      </c>
      <c r="V78" s="187" t="e">
        <f t="shared" si="13"/>
        <v>#NUM!</v>
      </c>
      <c r="W78" s="204" t="e">
        <f t="shared" si="14"/>
        <v>#DIV/0!</v>
      </c>
      <c r="X78" s="204" t="e">
        <f t="shared" si="15"/>
        <v>#DIV/0!</v>
      </c>
      <c r="Y78" s="204" t="e">
        <f t="shared" si="16"/>
        <v>#DIV/0!</v>
      </c>
      <c r="Z78" s="2"/>
    </row>
    <row r="79" spans="1:26" x14ac:dyDescent="0.2">
      <c r="A79" s="201">
        <v>0</v>
      </c>
      <c r="B79" s="14">
        <f t="shared" si="20"/>
        <v>0</v>
      </c>
      <c r="C79" s="14" t="e">
        <f t="shared" si="1"/>
        <v>#NUM!</v>
      </c>
      <c r="D79" s="202" t="e">
        <f t="shared" si="21"/>
        <v>#NUM!</v>
      </c>
      <c r="E79" s="203" t="e">
        <f t="shared" si="17"/>
        <v>#DIV/0!</v>
      </c>
      <c r="F79" s="201" t="e">
        <f t="shared" si="3"/>
        <v>#DIV/0!</v>
      </c>
      <c r="G79" s="201"/>
      <c r="H79" s="207">
        <f t="shared" si="4"/>
        <v>0</v>
      </c>
      <c r="I79" s="201" t="e">
        <f t="shared" si="0"/>
        <v>#NUM!</v>
      </c>
      <c r="J79" s="204" t="e">
        <f t="shared" si="5"/>
        <v>#DIV/0!</v>
      </c>
      <c r="K79" s="204" t="e">
        <f t="shared" si="6"/>
        <v>#DIV/0!</v>
      </c>
      <c r="L79" s="204" t="e">
        <f t="shared" si="7"/>
        <v>#DIV/0!</v>
      </c>
      <c r="M79" s="277" t="e">
        <f t="shared" si="18"/>
        <v>#NUM!</v>
      </c>
      <c r="N79" s="201"/>
      <c r="O79" s="205" t="e">
        <f t="shared" si="19"/>
        <v>#DIV/0!</v>
      </c>
      <c r="P79" s="2"/>
      <c r="Q79" s="201" t="e">
        <f t="shared" si="8"/>
        <v>#DIV/0!</v>
      </c>
      <c r="R79" s="204" t="e">
        <f t="shared" si="9"/>
        <v>#DIV/0!</v>
      </c>
      <c r="S79" s="204" t="e">
        <f t="shared" si="10"/>
        <v>#DIV/0!</v>
      </c>
      <c r="T79" s="204" t="e">
        <f t="shared" si="11"/>
        <v>#DIV/0!</v>
      </c>
      <c r="U79" s="105" t="e">
        <f t="shared" si="12"/>
        <v>#NUM!</v>
      </c>
      <c r="V79" s="187" t="e">
        <f t="shared" si="13"/>
        <v>#NUM!</v>
      </c>
      <c r="W79" s="204" t="e">
        <f t="shared" si="14"/>
        <v>#DIV/0!</v>
      </c>
      <c r="X79" s="204" t="e">
        <f t="shared" si="15"/>
        <v>#DIV/0!</v>
      </c>
      <c r="Y79" s="204" t="e">
        <f t="shared" si="16"/>
        <v>#DIV/0!</v>
      </c>
      <c r="Z79" s="2"/>
    </row>
    <row r="80" spans="1:26" x14ac:dyDescent="0.2">
      <c r="A80" s="201">
        <v>0</v>
      </c>
      <c r="B80" s="14">
        <f t="shared" si="20"/>
        <v>0</v>
      </c>
      <c r="C80" s="14" t="e">
        <f t="shared" si="1"/>
        <v>#NUM!</v>
      </c>
      <c r="D80" s="202" t="e">
        <f t="shared" si="21"/>
        <v>#NUM!</v>
      </c>
      <c r="E80" s="203" t="e">
        <f t="shared" si="17"/>
        <v>#DIV/0!</v>
      </c>
      <c r="F80" s="201" t="e">
        <f t="shared" si="3"/>
        <v>#DIV/0!</v>
      </c>
      <c r="G80" s="201"/>
      <c r="H80" s="207">
        <f t="shared" si="4"/>
        <v>0</v>
      </c>
      <c r="I80" s="201" t="e">
        <f t="shared" si="0"/>
        <v>#NUM!</v>
      </c>
      <c r="J80" s="204" t="e">
        <f t="shared" si="5"/>
        <v>#DIV/0!</v>
      </c>
      <c r="K80" s="204" t="e">
        <f t="shared" si="6"/>
        <v>#DIV/0!</v>
      </c>
      <c r="L80" s="204" t="e">
        <f t="shared" si="7"/>
        <v>#DIV/0!</v>
      </c>
      <c r="M80" s="277" t="e">
        <f t="shared" si="18"/>
        <v>#NUM!</v>
      </c>
      <c r="N80" s="201"/>
      <c r="O80" s="205" t="e">
        <f t="shared" si="19"/>
        <v>#DIV/0!</v>
      </c>
      <c r="P80" s="2"/>
      <c r="Q80" s="201" t="e">
        <f t="shared" si="8"/>
        <v>#DIV/0!</v>
      </c>
      <c r="R80" s="204" t="e">
        <f t="shared" si="9"/>
        <v>#DIV/0!</v>
      </c>
      <c r="S80" s="204" t="e">
        <f t="shared" si="10"/>
        <v>#DIV/0!</v>
      </c>
      <c r="T80" s="204" t="e">
        <f t="shared" si="11"/>
        <v>#DIV/0!</v>
      </c>
      <c r="U80" s="105" t="e">
        <f t="shared" si="12"/>
        <v>#NUM!</v>
      </c>
      <c r="V80" s="187" t="e">
        <f t="shared" si="13"/>
        <v>#NUM!</v>
      </c>
      <c r="W80" s="204" t="e">
        <f t="shared" si="14"/>
        <v>#DIV/0!</v>
      </c>
      <c r="X80" s="204" t="e">
        <f t="shared" si="15"/>
        <v>#DIV/0!</v>
      </c>
      <c r="Y80" s="204" t="e">
        <f t="shared" si="16"/>
        <v>#DIV/0!</v>
      </c>
      <c r="Z80" s="2"/>
    </row>
    <row r="81" spans="1:26" x14ac:dyDescent="0.2">
      <c r="A81" s="201">
        <v>0</v>
      </c>
      <c r="B81" s="14">
        <f t="shared" si="20"/>
        <v>0</v>
      </c>
      <c r="C81" s="14" t="e">
        <f t="shared" si="1"/>
        <v>#NUM!</v>
      </c>
      <c r="D81" s="202" t="e">
        <f t="shared" si="21"/>
        <v>#NUM!</v>
      </c>
      <c r="E81" s="203" t="e">
        <f t="shared" si="17"/>
        <v>#DIV/0!</v>
      </c>
      <c r="F81" s="201" t="e">
        <f t="shared" si="3"/>
        <v>#DIV/0!</v>
      </c>
      <c r="G81" s="201"/>
      <c r="H81" s="207">
        <f t="shared" si="4"/>
        <v>0</v>
      </c>
      <c r="I81" s="201" t="e">
        <f t="shared" si="0"/>
        <v>#NUM!</v>
      </c>
      <c r="J81" s="204" t="e">
        <f t="shared" si="5"/>
        <v>#DIV/0!</v>
      </c>
      <c r="K81" s="204" t="e">
        <f t="shared" si="6"/>
        <v>#DIV/0!</v>
      </c>
      <c r="L81" s="204" t="e">
        <f t="shared" si="7"/>
        <v>#DIV/0!</v>
      </c>
      <c r="M81" s="277" t="e">
        <f t="shared" si="18"/>
        <v>#NUM!</v>
      </c>
      <c r="N81" s="201"/>
      <c r="O81" s="205" t="e">
        <f t="shared" si="19"/>
        <v>#DIV/0!</v>
      </c>
      <c r="P81" s="2"/>
      <c r="Q81" s="201" t="e">
        <f t="shared" si="8"/>
        <v>#DIV/0!</v>
      </c>
      <c r="R81" s="204" t="e">
        <f t="shared" si="9"/>
        <v>#DIV/0!</v>
      </c>
      <c r="S81" s="204" t="e">
        <f t="shared" si="10"/>
        <v>#DIV/0!</v>
      </c>
      <c r="T81" s="204" t="e">
        <f t="shared" si="11"/>
        <v>#DIV/0!</v>
      </c>
      <c r="U81" s="105" t="e">
        <f t="shared" si="12"/>
        <v>#NUM!</v>
      </c>
      <c r="V81" s="187" t="e">
        <f t="shared" si="13"/>
        <v>#NUM!</v>
      </c>
      <c r="W81" s="204" t="e">
        <f t="shared" si="14"/>
        <v>#DIV/0!</v>
      </c>
      <c r="X81" s="204" t="e">
        <f t="shared" si="15"/>
        <v>#DIV/0!</v>
      </c>
      <c r="Y81" s="204" t="e">
        <f t="shared" si="16"/>
        <v>#DIV/0!</v>
      </c>
      <c r="Z81" s="2"/>
    </row>
    <row r="82" spans="1:26" x14ac:dyDescent="0.2">
      <c r="A82" s="201">
        <v>0</v>
      </c>
      <c r="B82" s="14">
        <f t="shared" si="20"/>
        <v>0</v>
      </c>
      <c r="C82" s="14" t="e">
        <f t="shared" si="1"/>
        <v>#NUM!</v>
      </c>
      <c r="D82" s="202" t="e">
        <f t="shared" si="21"/>
        <v>#NUM!</v>
      </c>
      <c r="E82" s="203" t="e">
        <f t="shared" si="17"/>
        <v>#DIV/0!</v>
      </c>
      <c r="F82" s="201" t="e">
        <f t="shared" si="3"/>
        <v>#DIV/0!</v>
      </c>
      <c r="G82" s="201"/>
      <c r="H82" s="207">
        <f t="shared" si="4"/>
        <v>0</v>
      </c>
      <c r="I82" s="201" t="e">
        <f t="shared" si="0"/>
        <v>#NUM!</v>
      </c>
      <c r="J82" s="204" t="e">
        <f t="shared" si="5"/>
        <v>#DIV/0!</v>
      </c>
      <c r="K82" s="204" t="e">
        <f t="shared" si="6"/>
        <v>#DIV/0!</v>
      </c>
      <c r="L82" s="204" t="e">
        <f t="shared" si="7"/>
        <v>#DIV/0!</v>
      </c>
      <c r="M82" s="277" t="e">
        <f t="shared" si="18"/>
        <v>#NUM!</v>
      </c>
      <c r="N82" s="201"/>
      <c r="O82" s="205" t="e">
        <f t="shared" si="19"/>
        <v>#DIV/0!</v>
      </c>
      <c r="P82" s="2"/>
      <c r="Q82" s="201" t="e">
        <f t="shared" si="8"/>
        <v>#DIV/0!</v>
      </c>
      <c r="R82" s="204" t="e">
        <f t="shared" si="9"/>
        <v>#DIV/0!</v>
      </c>
      <c r="S82" s="204" t="e">
        <f t="shared" si="10"/>
        <v>#DIV/0!</v>
      </c>
      <c r="T82" s="204" t="e">
        <f t="shared" si="11"/>
        <v>#DIV/0!</v>
      </c>
      <c r="U82" s="105" t="e">
        <f t="shared" si="12"/>
        <v>#NUM!</v>
      </c>
      <c r="V82" s="187" t="e">
        <f t="shared" si="13"/>
        <v>#NUM!</v>
      </c>
      <c r="W82" s="204" t="e">
        <f t="shared" si="14"/>
        <v>#DIV/0!</v>
      </c>
      <c r="X82" s="204" t="e">
        <f t="shared" si="15"/>
        <v>#DIV/0!</v>
      </c>
      <c r="Y82" s="204" t="e">
        <f t="shared" si="16"/>
        <v>#DIV/0!</v>
      </c>
      <c r="Z82" s="2"/>
    </row>
    <row r="83" spans="1:26" x14ac:dyDescent="0.2">
      <c r="A83" s="201">
        <v>0</v>
      </c>
      <c r="B83" s="14">
        <f t="shared" si="20"/>
        <v>0</v>
      </c>
      <c r="C83" s="14" t="e">
        <f t="shared" si="1"/>
        <v>#NUM!</v>
      </c>
      <c r="D83" s="202" t="e">
        <f t="shared" si="21"/>
        <v>#NUM!</v>
      </c>
      <c r="E83" s="203" t="e">
        <f t="shared" si="17"/>
        <v>#DIV/0!</v>
      </c>
      <c r="F83" s="201" t="e">
        <f t="shared" si="3"/>
        <v>#DIV/0!</v>
      </c>
      <c r="G83" s="201"/>
      <c r="H83" s="207">
        <f t="shared" si="4"/>
        <v>0</v>
      </c>
      <c r="I83" s="201" t="e">
        <f t="shared" si="0"/>
        <v>#NUM!</v>
      </c>
      <c r="J83" s="204" t="e">
        <f t="shared" si="5"/>
        <v>#DIV/0!</v>
      </c>
      <c r="K83" s="204" t="e">
        <f t="shared" si="6"/>
        <v>#DIV/0!</v>
      </c>
      <c r="L83" s="204" t="e">
        <f t="shared" si="7"/>
        <v>#DIV/0!</v>
      </c>
      <c r="M83" s="277" t="e">
        <f t="shared" si="18"/>
        <v>#NUM!</v>
      </c>
      <c r="N83" s="201"/>
      <c r="O83" s="205" t="e">
        <f t="shared" si="19"/>
        <v>#DIV/0!</v>
      </c>
      <c r="P83" s="2"/>
      <c r="Q83" s="201" t="e">
        <f t="shared" si="8"/>
        <v>#DIV/0!</v>
      </c>
      <c r="R83" s="204" t="e">
        <f t="shared" si="9"/>
        <v>#DIV/0!</v>
      </c>
      <c r="S83" s="204" t="e">
        <f t="shared" si="10"/>
        <v>#DIV/0!</v>
      </c>
      <c r="T83" s="204" t="e">
        <f t="shared" si="11"/>
        <v>#DIV/0!</v>
      </c>
      <c r="U83" s="105" t="e">
        <f t="shared" si="12"/>
        <v>#NUM!</v>
      </c>
      <c r="V83" s="187" t="e">
        <f t="shared" si="13"/>
        <v>#NUM!</v>
      </c>
      <c r="W83" s="204" t="e">
        <f t="shared" si="14"/>
        <v>#DIV/0!</v>
      </c>
      <c r="X83" s="204" t="e">
        <f t="shared" si="15"/>
        <v>#DIV/0!</v>
      </c>
      <c r="Y83" s="204" t="e">
        <f t="shared" si="16"/>
        <v>#DIV/0!</v>
      </c>
      <c r="Z83" s="2"/>
    </row>
    <row r="84" spans="1:26" x14ac:dyDescent="0.2">
      <c r="A84" s="201">
        <v>0</v>
      </c>
      <c r="B84" s="14">
        <f t="shared" si="20"/>
        <v>0</v>
      </c>
      <c r="C84" s="14" t="e">
        <f t="shared" si="1"/>
        <v>#NUM!</v>
      </c>
      <c r="D84" s="202" t="e">
        <f t="shared" si="21"/>
        <v>#NUM!</v>
      </c>
      <c r="E84" s="203" t="e">
        <f t="shared" si="17"/>
        <v>#DIV/0!</v>
      </c>
      <c r="F84" s="201" t="e">
        <f t="shared" si="3"/>
        <v>#DIV/0!</v>
      </c>
      <c r="G84" s="201"/>
      <c r="H84" s="207">
        <f t="shared" si="4"/>
        <v>0</v>
      </c>
      <c r="I84" s="201" t="e">
        <f t="shared" si="0"/>
        <v>#NUM!</v>
      </c>
      <c r="J84" s="204" t="e">
        <f t="shared" si="5"/>
        <v>#DIV/0!</v>
      </c>
      <c r="K84" s="204" t="e">
        <f t="shared" si="6"/>
        <v>#DIV/0!</v>
      </c>
      <c r="L84" s="204" t="e">
        <f t="shared" si="7"/>
        <v>#DIV/0!</v>
      </c>
      <c r="M84" s="277" t="e">
        <f t="shared" si="18"/>
        <v>#NUM!</v>
      </c>
      <c r="N84" s="201"/>
      <c r="O84" s="205" t="e">
        <f t="shared" si="19"/>
        <v>#DIV/0!</v>
      </c>
      <c r="P84" s="2"/>
      <c r="Q84" s="201" t="e">
        <f t="shared" si="8"/>
        <v>#DIV/0!</v>
      </c>
      <c r="R84" s="204" t="e">
        <f t="shared" si="9"/>
        <v>#DIV/0!</v>
      </c>
      <c r="S84" s="204" t="e">
        <f t="shared" si="10"/>
        <v>#DIV/0!</v>
      </c>
      <c r="T84" s="204" t="e">
        <f t="shared" si="11"/>
        <v>#DIV/0!</v>
      </c>
      <c r="U84" s="105" t="e">
        <f t="shared" si="12"/>
        <v>#NUM!</v>
      </c>
      <c r="V84" s="187" t="e">
        <f t="shared" si="13"/>
        <v>#NUM!</v>
      </c>
      <c r="W84" s="204" t="e">
        <f t="shared" si="14"/>
        <v>#DIV/0!</v>
      </c>
      <c r="X84" s="204" t="e">
        <f t="shared" si="15"/>
        <v>#DIV/0!</v>
      </c>
      <c r="Y84" s="204" t="e">
        <f t="shared" si="16"/>
        <v>#DIV/0!</v>
      </c>
      <c r="Z84" s="2"/>
    </row>
    <row r="85" spans="1:26" x14ac:dyDescent="0.2">
      <c r="A85" s="201">
        <v>0</v>
      </c>
      <c r="B85" s="14">
        <f t="shared" si="20"/>
        <v>0</v>
      </c>
      <c r="C85" s="14" t="e">
        <f t="shared" si="1"/>
        <v>#NUM!</v>
      </c>
      <c r="D85" s="202" t="e">
        <f t="shared" si="21"/>
        <v>#NUM!</v>
      </c>
      <c r="E85" s="203" t="e">
        <f t="shared" si="17"/>
        <v>#DIV/0!</v>
      </c>
      <c r="F85" s="201" t="e">
        <f t="shared" si="3"/>
        <v>#DIV/0!</v>
      </c>
      <c r="G85" s="201"/>
      <c r="H85" s="207">
        <f t="shared" si="4"/>
        <v>0</v>
      </c>
      <c r="I85" s="201" t="e">
        <f t="shared" si="0"/>
        <v>#NUM!</v>
      </c>
      <c r="J85" s="204" t="e">
        <f t="shared" si="5"/>
        <v>#DIV/0!</v>
      </c>
      <c r="K85" s="204" t="e">
        <f t="shared" si="6"/>
        <v>#DIV/0!</v>
      </c>
      <c r="L85" s="204" t="e">
        <f t="shared" si="7"/>
        <v>#DIV/0!</v>
      </c>
      <c r="M85" s="277" t="e">
        <f t="shared" si="18"/>
        <v>#NUM!</v>
      </c>
      <c r="N85" s="201"/>
      <c r="O85" s="205" t="e">
        <f t="shared" si="19"/>
        <v>#DIV/0!</v>
      </c>
      <c r="P85" s="2"/>
      <c r="Q85" s="201" t="e">
        <f t="shared" si="8"/>
        <v>#DIV/0!</v>
      </c>
      <c r="R85" s="204" t="e">
        <f t="shared" si="9"/>
        <v>#DIV/0!</v>
      </c>
      <c r="S85" s="204" t="e">
        <f t="shared" si="10"/>
        <v>#DIV/0!</v>
      </c>
      <c r="T85" s="204" t="e">
        <f t="shared" si="11"/>
        <v>#DIV/0!</v>
      </c>
      <c r="U85" s="105" t="e">
        <f t="shared" si="12"/>
        <v>#NUM!</v>
      </c>
      <c r="V85" s="187" t="e">
        <f t="shared" si="13"/>
        <v>#NUM!</v>
      </c>
      <c r="W85" s="204" t="e">
        <f t="shared" si="14"/>
        <v>#DIV/0!</v>
      </c>
      <c r="X85" s="204" t="e">
        <f t="shared" si="15"/>
        <v>#DIV/0!</v>
      </c>
      <c r="Y85" s="204" t="e">
        <f t="shared" si="16"/>
        <v>#DIV/0!</v>
      </c>
      <c r="Z85" s="2"/>
    </row>
    <row r="86" spans="1:26" x14ac:dyDescent="0.2">
      <c r="A86" s="201">
        <v>0</v>
      </c>
      <c r="B86" s="14">
        <f t="shared" si="20"/>
        <v>0</v>
      </c>
      <c r="C86" s="14" t="e">
        <f t="shared" si="1"/>
        <v>#NUM!</v>
      </c>
      <c r="D86" s="202" t="e">
        <f t="shared" si="21"/>
        <v>#NUM!</v>
      </c>
      <c r="E86" s="203" t="e">
        <f t="shared" si="17"/>
        <v>#DIV/0!</v>
      </c>
      <c r="F86" s="201" t="e">
        <f t="shared" si="3"/>
        <v>#DIV/0!</v>
      </c>
      <c r="G86" s="201"/>
      <c r="H86" s="207">
        <f t="shared" si="4"/>
        <v>0</v>
      </c>
      <c r="I86" s="201" t="e">
        <f t="shared" si="0"/>
        <v>#NUM!</v>
      </c>
      <c r="J86" s="204" t="e">
        <f t="shared" si="5"/>
        <v>#DIV/0!</v>
      </c>
      <c r="K86" s="204" t="e">
        <f t="shared" si="6"/>
        <v>#DIV/0!</v>
      </c>
      <c r="L86" s="204" t="e">
        <f t="shared" si="7"/>
        <v>#DIV/0!</v>
      </c>
      <c r="M86" s="277" t="e">
        <f t="shared" si="18"/>
        <v>#NUM!</v>
      </c>
      <c r="N86" s="201"/>
      <c r="O86" s="205" t="e">
        <f t="shared" si="19"/>
        <v>#DIV/0!</v>
      </c>
      <c r="P86" s="2"/>
      <c r="Q86" s="201" t="e">
        <f t="shared" si="8"/>
        <v>#DIV/0!</v>
      </c>
      <c r="R86" s="204" t="e">
        <f t="shared" si="9"/>
        <v>#DIV/0!</v>
      </c>
      <c r="S86" s="204" t="e">
        <f t="shared" si="10"/>
        <v>#DIV/0!</v>
      </c>
      <c r="T86" s="204" t="e">
        <f t="shared" si="11"/>
        <v>#DIV/0!</v>
      </c>
      <c r="U86" s="105" t="e">
        <f t="shared" si="12"/>
        <v>#NUM!</v>
      </c>
      <c r="V86" s="187" t="e">
        <f t="shared" si="13"/>
        <v>#NUM!</v>
      </c>
      <c r="W86" s="204" t="e">
        <f t="shared" si="14"/>
        <v>#DIV/0!</v>
      </c>
      <c r="X86" s="204" t="e">
        <f t="shared" si="15"/>
        <v>#DIV/0!</v>
      </c>
      <c r="Y86" s="204" t="e">
        <f t="shared" si="16"/>
        <v>#DIV/0!</v>
      </c>
      <c r="Z86" s="2"/>
    </row>
    <row r="87" spans="1:26" x14ac:dyDescent="0.2">
      <c r="A87" s="201">
        <v>0</v>
      </c>
      <c r="B87" s="14">
        <f t="shared" si="20"/>
        <v>0</v>
      </c>
      <c r="C87" s="14" t="e">
        <f t="shared" si="1"/>
        <v>#NUM!</v>
      </c>
      <c r="D87" s="202" t="e">
        <f t="shared" si="21"/>
        <v>#NUM!</v>
      </c>
      <c r="E87" s="203" t="e">
        <f t="shared" si="17"/>
        <v>#DIV/0!</v>
      </c>
      <c r="F87" s="201" t="e">
        <f t="shared" si="3"/>
        <v>#DIV/0!</v>
      </c>
      <c r="G87" s="201"/>
      <c r="H87" s="207">
        <f t="shared" si="4"/>
        <v>0</v>
      </c>
      <c r="I87" s="201" t="e">
        <f t="shared" si="0"/>
        <v>#NUM!</v>
      </c>
      <c r="J87" s="204" t="e">
        <f t="shared" si="5"/>
        <v>#DIV/0!</v>
      </c>
      <c r="K87" s="204" t="e">
        <f t="shared" si="6"/>
        <v>#DIV/0!</v>
      </c>
      <c r="L87" s="204" t="e">
        <f t="shared" si="7"/>
        <v>#DIV/0!</v>
      </c>
      <c r="M87" s="277" t="e">
        <f t="shared" si="18"/>
        <v>#NUM!</v>
      </c>
      <c r="N87" s="201"/>
      <c r="O87" s="205" t="e">
        <f t="shared" si="19"/>
        <v>#DIV/0!</v>
      </c>
      <c r="Q87" s="201" t="e">
        <f t="shared" si="8"/>
        <v>#DIV/0!</v>
      </c>
      <c r="R87" s="204" t="e">
        <f t="shared" si="9"/>
        <v>#DIV/0!</v>
      </c>
      <c r="S87" s="204" t="e">
        <f t="shared" si="10"/>
        <v>#DIV/0!</v>
      </c>
      <c r="T87" s="204" t="e">
        <f t="shared" si="11"/>
        <v>#DIV/0!</v>
      </c>
      <c r="U87" s="105" t="e">
        <f t="shared" si="12"/>
        <v>#NUM!</v>
      </c>
      <c r="V87" s="187" t="e">
        <f t="shared" si="13"/>
        <v>#NUM!</v>
      </c>
      <c r="W87" s="204" t="e">
        <f t="shared" si="14"/>
        <v>#DIV/0!</v>
      </c>
      <c r="X87" s="204" t="e">
        <f t="shared" si="15"/>
        <v>#DIV/0!</v>
      </c>
      <c r="Y87" s="204" t="e">
        <f t="shared" si="16"/>
        <v>#DIV/0!</v>
      </c>
    </row>
    <row r="88" spans="1:26" x14ac:dyDescent="0.2">
      <c r="A88" s="201">
        <v>0</v>
      </c>
      <c r="B88" s="14">
        <f t="shared" si="20"/>
        <v>0</v>
      </c>
      <c r="C88" s="14" t="e">
        <f t="shared" si="1"/>
        <v>#NUM!</v>
      </c>
      <c r="D88" s="202" t="e">
        <f t="shared" si="21"/>
        <v>#NUM!</v>
      </c>
      <c r="E88" s="203" t="e">
        <f t="shared" si="17"/>
        <v>#DIV/0!</v>
      </c>
      <c r="F88" s="201" t="e">
        <f t="shared" si="3"/>
        <v>#DIV/0!</v>
      </c>
      <c r="G88" s="201"/>
      <c r="H88" s="207">
        <f t="shared" si="4"/>
        <v>0</v>
      </c>
      <c r="I88" s="201" t="e">
        <f t="shared" si="0"/>
        <v>#NUM!</v>
      </c>
      <c r="J88" s="204" t="e">
        <f t="shared" si="5"/>
        <v>#DIV/0!</v>
      </c>
      <c r="K88" s="204" t="e">
        <f t="shared" si="6"/>
        <v>#DIV/0!</v>
      </c>
      <c r="L88" s="204" t="e">
        <f t="shared" si="7"/>
        <v>#DIV/0!</v>
      </c>
      <c r="M88" s="277" t="e">
        <f t="shared" si="18"/>
        <v>#NUM!</v>
      </c>
      <c r="N88" s="201"/>
      <c r="O88" s="205" t="e">
        <f t="shared" si="19"/>
        <v>#DIV/0!</v>
      </c>
      <c r="Q88" s="201" t="e">
        <f t="shared" si="8"/>
        <v>#DIV/0!</v>
      </c>
      <c r="R88" s="204" t="e">
        <f t="shared" si="9"/>
        <v>#DIV/0!</v>
      </c>
      <c r="S88" s="204" t="e">
        <f t="shared" si="10"/>
        <v>#DIV/0!</v>
      </c>
      <c r="T88" s="204" t="e">
        <f t="shared" si="11"/>
        <v>#DIV/0!</v>
      </c>
      <c r="U88" s="105" t="e">
        <f t="shared" si="12"/>
        <v>#NUM!</v>
      </c>
      <c r="V88" s="187" t="e">
        <f t="shared" si="13"/>
        <v>#NUM!</v>
      </c>
      <c r="W88" s="204" t="e">
        <f t="shared" si="14"/>
        <v>#DIV/0!</v>
      </c>
      <c r="X88" s="204" t="e">
        <f t="shared" si="15"/>
        <v>#DIV/0!</v>
      </c>
      <c r="Y88" s="204" t="e">
        <f t="shared" si="16"/>
        <v>#DIV/0!</v>
      </c>
    </row>
    <row r="89" spans="1:26" x14ac:dyDescent="0.2">
      <c r="A89" s="201">
        <v>0</v>
      </c>
      <c r="B89" s="14">
        <f t="shared" si="20"/>
        <v>0</v>
      </c>
      <c r="C89" s="14" t="e">
        <f t="shared" si="1"/>
        <v>#NUM!</v>
      </c>
      <c r="D89" s="202" t="e">
        <f t="shared" si="21"/>
        <v>#NUM!</v>
      </c>
      <c r="E89" s="203" t="e">
        <f t="shared" si="17"/>
        <v>#DIV/0!</v>
      </c>
      <c r="F89" s="201" t="e">
        <f t="shared" si="3"/>
        <v>#DIV/0!</v>
      </c>
      <c r="G89" s="201"/>
      <c r="H89" s="207">
        <f t="shared" si="4"/>
        <v>0</v>
      </c>
      <c r="I89" s="201" t="e">
        <f t="shared" si="0"/>
        <v>#NUM!</v>
      </c>
      <c r="J89" s="204" t="e">
        <f t="shared" si="5"/>
        <v>#DIV/0!</v>
      </c>
      <c r="K89" s="204" t="e">
        <f t="shared" si="6"/>
        <v>#DIV/0!</v>
      </c>
      <c r="L89" s="204" t="e">
        <f t="shared" si="7"/>
        <v>#DIV/0!</v>
      </c>
      <c r="M89" s="277" t="e">
        <f t="shared" si="18"/>
        <v>#NUM!</v>
      </c>
      <c r="N89" s="201"/>
      <c r="O89" s="205" t="e">
        <f t="shared" si="19"/>
        <v>#DIV/0!</v>
      </c>
      <c r="Q89" s="201" t="e">
        <f t="shared" si="8"/>
        <v>#DIV/0!</v>
      </c>
      <c r="R89" s="204" t="e">
        <f t="shared" si="9"/>
        <v>#DIV/0!</v>
      </c>
      <c r="S89" s="204" t="e">
        <f t="shared" si="10"/>
        <v>#DIV/0!</v>
      </c>
      <c r="T89" s="204" t="e">
        <f t="shared" si="11"/>
        <v>#DIV/0!</v>
      </c>
      <c r="U89" s="105" t="e">
        <f t="shared" si="12"/>
        <v>#NUM!</v>
      </c>
      <c r="V89" s="187" t="e">
        <f t="shared" si="13"/>
        <v>#NUM!</v>
      </c>
      <c r="W89" s="204" t="e">
        <f t="shared" si="14"/>
        <v>#DIV/0!</v>
      </c>
      <c r="X89" s="204" t="e">
        <f t="shared" si="15"/>
        <v>#DIV/0!</v>
      </c>
      <c r="Y89" s="204" t="e">
        <f t="shared" si="16"/>
        <v>#DIV/0!</v>
      </c>
    </row>
    <row r="90" spans="1:26" x14ac:dyDescent="0.2">
      <c r="A90" s="201">
        <v>0</v>
      </c>
      <c r="B90" s="14">
        <f t="shared" si="20"/>
        <v>0</v>
      </c>
      <c r="C90" s="14" t="e">
        <f t="shared" si="1"/>
        <v>#NUM!</v>
      </c>
      <c r="D90" s="202" t="e">
        <f t="shared" si="21"/>
        <v>#NUM!</v>
      </c>
      <c r="E90" s="203" t="e">
        <f t="shared" si="17"/>
        <v>#DIV/0!</v>
      </c>
      <c r="F90" s="201" t="e">
        <f t="shared" si="3"/>
        <v>#DIV/0!</v>
      </c>
      <c r="G90" s="201"/>
      <c r="H90" s="207">
        <f t="shared" si="4"/>
        <v>0</v>
      </c>
      <c r="I90" s="201" t="e">
        <f t="shared" si="0"/>
        <v>#NUM!</v>
      </c>
      <c r="J90" s="204" t="e">
        <f t="shared" si="5"/>
        <v>#DIV/0!</v>
      </c>
      <c r="K90" s="204" t="e">
        <f t="shared" si="6"/>
        <v>#DIV/0!</v>
      </c>
      <c r="L90" s="204" t="e">
        <f t="shared" si="7"/>
        <v>#DIV/0!</v>
      </c>
      <c r="M90" s="277" t="e">
        <f t="shared" si="18"/>
        <v>#NUM!</v>
      </c>
      <c r="N90" s="201"/>
      <c r="O90" s="205" t="e">
        <f t="shared" si="19"/>
        <v>#DIV/0!</v>
      </c>
      <c r="Q90" s="201" t="e">
        <f t="shared" si="8"/>
        <v>#DIV/0!</v>
      </c>
      <c r="R90" s="204" t="e">
        <f t="shared" si="9"/>
        <v>#DIV/0!</v>
      </c>
      <c r="S90" s="204" t="e">
        <f t="shared" si="10"/>
        <v>#DIV/0!</v>
      </c>
      <c r="T90" s="204" t="e">
        <f t="shared" si="11"/>
        <v>#DIV/0!</v>
      </c>
      <c r="U90" s="105" t="e">
        <f t="shared" si="12"/>
        <v>#NUM!</v>
      </c>
      <c r="V90" s="187" t="e">
        <f t="shared" si="13"/>
        <v>#NUM!</v>
      </c>
      <c r="W90" s="204" t="e">
        <f t="shared" si="14"/>
        <v>#DIV/0!</v>
      </c>
      <c r="X90" s="204" t="e">
        <f t="shared" si="15"/>
        <v>#DIV/0!</v>
      </c>
      <c r="Y90" s="204" t="e">
        <f t="shared" si="16"/>
        <v>#DIV/0!</v>
      </c>
    </row>
    <row r="91" spans="1:26" x14ac:dyDescent="0.2">
      <c r="A91" s="201">
        <v>0</v>
      </c>
      <c r="B91" s="14">
        <f t="shared" si="20"/>
        <v>0</v>
      </c>
      <c r="C91" s="14" t="e">
        <f t="shared" si="1"/>
        <v>#NUM!</v>
      </c>
      <c r="D91" s="202" t="e">
        <f t="shared" si="21"/>
        <v>#NUM!</v>
      </c>
      <c r="E91" s="203" t="e">
        <f t="shared" si="17"/>
        <v>#DIV/0!</v>
      </c>
      <c r="F91" s="201" t="e">
        <f t="shared" si="3"/>
        <v>#DIV/0!</v>
      </c>
      <c r="G91" s="201"/>
      <c r="H91" s="207">
        <f t="shared" si="4"/>
        <v>0</v>
      </c>
      <c r="I91" s="201" t="e">
        <f t="shared" si="0"/>
        <v>#NUM!</v>
      </c>
      <c r="J91" s="204" t="e">
        <f t="shared" si="5"/>
        <v>#DIV/0!</v>
      </c>
      <c r="K91" s="204" t="e">
        <f t="shared" si="6"/>
        <v>#DIV/0!</v>
      </c>
      <c r="L91" s="204" t="e">
        <f t="shared" si="7"/>
        <v>#DIV/0!</v>
      </c>
      <c r="M91" s="277" t="e">
        <f t="shared" si="18"/>
        <v>#NUM!</v>
      </c>
      <c r="N91" s="201"/>
      <c r="O91" s="205" t="e">
        <f t="shared" si="19"/>
        <v>#DIV/0!</v>
      </c>
      <c r="Q91" s="201" t="e">
        <f t="shared" si="8"/>
        <v>#DIV/0!</v>
      </c>
      <c r="R91" s="204" t="e">
        <f t="shared" si="9"/>
        <v>#DIV/0!</v>
      </c>
      <c r="S91" s="204" t="e">
        <f t="shared" si="10"/>
        <v>#DIV/0!</v>
      </c>
      <c r="T91" s="204" t="e">
        <f t="shared" si="11"/>
        <v>#DIV/0!</v>
      </c>
      <c r="U91" s="105" t="e">
        <f t="shared" si="12"/>
        <v>#NUM!</v>
      </c>
      <c r="V91" s="187" t="e">
        <f t="shared" si="13"/>
        <v>#NUM!</v>
      </c>
      <c r="W91" s="204" t="e">
        <f t="shared" si="14"/>
        <v>#DIV/0!</v>
      </c>
      <c r="X91" s="204" t="e">
        <f t="shared" si="15"/>
        <v>#DIV/0!</v>
      </c>
      <c r="Y91" s="204" t="e">
        <f t="shared" si="16"/>
        <v>#DIV/0!</v>
      </c>
    </row>
    <row r="92" spans="1:26" x14ac:dyDescent="0.2">
      <c r="A92" s="201">
        <v>0</v>
      </c>
      <c r="B92" s="14">
        <f t="shared" si="20"/>
        <v>0</v>
      </c>
      <c r="C92" s="14" t="e">
        <f t="shared" si="1"/>
        <v>#NUM!</v>
      </c>
      <c r="D92" s="202" t="e">
        <f t="shared" si="21"/>
        <v>#NUM!</v>
      </c>
      <c r="E92" s="203" t="e">
        <f t="shared" si="17"/>
        <v>#DIV/0!</v>
      </c>
      <c r="F92" s="201" t="e">
        <f t="shared" si="3"/>
        <v>#DIV/0!</v>
      </c>
      <c r="G92" s="201"/>
      <c r="H92" s="207">
        <f t="shared" si="4"/>
        <v>0</v>
      </c>
      <c r="I92" s="201" t="e">
        <f t="shared" si="0"/>
        <v>#NUM!</v>
      </c>
      <c r="J92" s="204" t="e">
        <f t="shared" si="5"/>
        <v>#DIV/0!</v>
      </c>
      <c r="K92" s="204" t="e">
        <f t="shared" si="6"/>
        <v>#DIV/0!</v>
      </c>
      <c r="L92" s="204" t="e">
        <f t="shared" si="7"/>
        <v>#DIV/0!</v>
      </c>
      <c r="M92" s="277" t="e">
        <f t="shared" si="18"/>
        <v>#NUM!</v>
      </c>
      <c r="N92" s="201"/>
      <c r="O92" s="205" t="e">
        <f t="shared" si="19"/>
        <v>#DIV/0!</v>
      </c>
      <c r="Q92" s="201" t="e">
        <f t="shared" si="8"/>
        <v>#DIV/0!</v>
      </c>
      <c r="R92" s="204" t="e">
        <f t="shared" si="9"/>
        <v>#DIV/0!</v>
      </c>
      <c r="S92" s="204" t="e">
        <f t="shared" si="10"/>
        <v>#DIV/0!</v>
      </c>
      <c r="T92" s="204" t="e">
        <f t="shared" si="11"/>
        <v>#DIV/0!</v>
      </c>
      <c r="U92" s="105" t="e">
        <f t="shared" si="12"/>
        <v>#NUM!</v>
      </c>
      <c r="V92" s="187" t="e">
        <f t="shared" si="13"/>
        <v>#NUM!</v>
      </c>
      <c r="W92" s="204" t="e">
        <f t="shared" si="14"/>
        <v>#DIV/0!</v>
      </c>
      <c r="X92" s="204" t="e">
        <f t="shared" si="15"/>
        <v>#DIV/0!</v>
      </c>
      <c r="Y92" s="204" t="e">
        <f t="shared" si="16"/>
        <v>#DIV/0!</v>
      </c>
    </row>
    <row r="93" spans="1:26" x14ac:dyDescent="0.2">
      <c r="A93" s="201">
        <v>0</v>
      </c>
      <c r="B93" s="14">
        <f t="shared" si="20"/>
        <v>0</v>
      </c>
      <c r="C93" s="14" t="e">
        <f t="shared" si="1"/>
        <v>#NUM!</v>
      </c>
      <c r="D93" s="202" t="e">
        <f t="shared" si="21"/>
        <v>#NUM!</v>
      </c>
      <c r="E93" s="203" t="e">
        <f t="shared" si="17"/>
        <v>#DIV/0!</v>
      </c>
      <c r="F93" s="201" t="e">
        <f t="shared" si="3"/>
        <v>#DIV/0!</v>
      </c>
      <c r="G93" s="201"/>
      <c r="H93" s="207">
        <f t="shared" si="4"/>
        <v>0</v>
      </c>
      <c r="I93" s="201" t="e">
        <f t="shared" si="0"/>
        <v>#NUM!</v>
      </c>
      <c r="J93" s="204" t="e">
        <f t="shared" si="5"/>
        <v>#DIV/0!</v>
      </c>
      <c r="K93" s="204" t="e">
        <f t="shared" si="6"/>
        <v>#DIV/0!</v>
      </c>
      <c r="L93" s="204" t="e">
        <f t="shared" si="7"/>
        <v>#DIV/0!</v>
      </c>
      <c r="M93" s="277" t="e">
        <f t="shared" si="18"/>
        <v>#NUM!</v>
      </c>
      <c r="N93" s="201"/>
      <c r="O93" s="205" t="e">
        <f t="shared" si="19"/>
        <v>#DIV/0!</v>
      </c>
      <c r="Q93" s="201" t="e">
        <f t="shared" si="8"/>
        <v>#DIV/0!</v>
      </c>
      <c r="R93" s="204" t="e">
        <f t="shared" si="9"/>
        <v>#DIV/0!</v>
      </c>
      <c r="S93" s="204" t="e">
        <f t="shared" si="10"/>
        <v>#DIV/0!</v>
      </c>
      <c r="T93" s="204" t="e">
        <f t="shared" si="11"/>
        <v>#DIV/0!</v>
      </c>
      <c r="U93" s="105" t="e">
        <f t="shared" si="12"/>
        <v>#NUM!</v>
      </c>
      <c r="V93" s="187" t="e">
        <f t="shared" si="13"/>
        <v>#NUM!</v>
      </c>
      <c r="W93" s="204" t="e">
        <f t="shared" si="14"/>
        <v>#DIV/0!</v>
      </c>
      <c r="X93" s="204" t="e">
        <f t="shared" si="15"/>
        <v>#DIV/0!</v>
      </c>
      <c r="Y93" s="204" t="e">
        <f t="shared" si="16"/>
        <v>#DIV/0!</v>
      </c>
    </row>
    <row r="94" spans="1:26" x14ac:dyDescent="0.2">
      <c r="A94" s="201">
        <v>0</v>
      </c>
      <c r="B94" s="14">
        <f t="shared" si="20"/>
        <v>0</v>
      </c>
      <c r="C94" s="14" t="e">
        <f t="shared" si="1"/>
        <v>#NUM!</v>
      </c>
      <c r="D94" s="202" t="e">
        <f t="shared" si="21"/>
        <v>#NUM!</v>
      </c>
      <c r="E94" s="203" t="e">
        <f t="shared" si="17"/>
        <v>#DIV/0!</v>
      </c>
      <c r="F94" s="201" t="e">
        <f t="shared" si="3"/>
        <v>#DIV/0!</v>
      </c>
      <c r="G94" s="201"/>
      <c r="H94" s="207">
        <f t="shared" si="4"/>
        <v>0</v>
      </c>
      <c r="I94" s="201" t="e">
        <f t="shared" ref="I94:I157" si="22">D94*F94</f>
        <v>#NUM!</v>
      </c>
      <c r="J94" s="204" t="e">
        <f t="shared" si="5"/>
        <v>#DIV/0!</v>
      </c>
      <c r="K94" s="204" t="e">
        <f t="shared" si="6"/>
        <v>#DIV/0!</v>
      </c>
      <c r="L94" s="204" t="e">
        <f t="shared" si="7"/>
        <v>#DIV/0!</v>
      </c>
      <c r="M94" s="277" t="e">
        <f t="shared" si="18"/>
        <v>#NUM!</v>
      </c>
      <c r="N94" s="201"/>
      <c r="O94" s="205" t="e">
        <f t="shared" si="19"/>
        <v>#DIV/0!</v>
      </c>
      <c r="Q94" s="201" t="e">
        <f t="shared" si="8"/>
        <v>#DIV/0!</v>
      </c>
      <c r="R94" s="204" t="e">
        <f t="shared" si="9"/>
        <v>#DIV/0!</v>
      </c>
      <c r="S94" s="204" t="e">
        <f t="shared" si="10"/>
        <v>#DIV/0!</v>
      </c>
      <c r="T94" s="204" t="e">
        <f t="shared" si="11"/>
        <v>#DIV/0!</v>
      </c>
      <c r="U94" s="105" t="e">
        <f t="shared" si="12"/>
        <v>#NUM!</v>
      </c>
      <c r="V94" s="187" t="e">
        <f t="shared" si="13"/>
        <v>#NUM!</v>
      </c>
      <c r="W94" s="204" t="e">
        <f t="shared" si="14"/>
        <v>#DIV/0!</v>
      </c>
      <c r="X94" s="204" t="e">
        <f t="shared" si="15"/>
        <v>#DIV/0!</v>
      </c>
      <c r="Y94" s="204" t="e">
        <f t="shared" si="16"/>
        <v>#DIV/0!</v>
      </c>
    </row>
    <row r="95" spans="1:26" x14ac:dyDescent="0.2">
      <c r="A95" s="201">
        <v>0</v>
      </c>
      <c r="B95" s="14">
        <f t="shared" si="20"/>
        <v>0</v>
      </c>
      <c r="C95" s="14" t="e">
        <f t="shared" ref="C95:C158" si="23">IF(A95=0,IF(B95&gt;0,IF(C94&lt;10,10,-LOG(0,2)),-LOG(0,2)),-LOG(A95,2))</f>
        <v>#NUM!</v>
      </c>
      <c r="D95" s="202" t="e">
        <f t="shared" si="21"/>
        <v>#NUM!</v>
      </c>
      <c r="E95" s="203" t="e">
        <f t="shared" si="17"/>
        <v>#DIV/0!</v>
      </c>
      <c r="F95" s="201" t="e">
        <f t="shared" ref="F95:F158" si="24">(G95*100)/$A$10</f>
        <v>#DIV/0!</v>
      </c>
      <c r="G95" s="201"/>
      <c r="H95" s="207">
        <f t="shared" ref="H95:H158" si="25">A95*1000</f>
        <v>0</v>
      </c>
      <c r="I95" s="201" t="e">
        <f t="shared" si="22"/>
        <v>#NUM!</v>
      </c>
      <c r="J95" s="204" t="e">
        <f t="shared" ref="J95:J158" si="26">(F95)*(D95-$B$4)^2</f>
        <v>#DIV/0!</v>
      </c>
      <c r="K95" s="204" t="e">
        <f t="shared" ref="K95:K158" si="27">(F95)*(D95-$B$4)^3</f>
        <v>#DIV/0!</v>
      </c>
      <c r="L95" s="204" t="e">
        <f t="shared" ref="L95:L158" si="28">(F95)*(D95-$B$4)^4</f>
        <v>#DIV/0!</v>
      </c>
      <c r="M95" s="277" t="e">
        <f t="shared" si="18"/>
        <v>#NUM!</v>
      </c>
      <c r="N95" s="201"/>
      <c r="O95" s="205" t="e">
        <f t="shared" si="19"/>
        <v>#DIV/0!</v>
      </c>
      <c r="Q95" s="201" t="e">
        <f t="shared" ref="Q95:Q158" si="29">(B95*1000)*F95</f>
        <v>#DIV/0!</v>
      </c>
      <c r="R95" s="204" t="e">
        <f t="shared" ref="R95:R158" si="30">(F95)*((B95*1000)-$B$15)^2</f>
        <v>#DIV/0!</v>
      </c>
      <c r="S95" s="204" t="e">
        <f t="shared" ref="S95:S158" si="31">(F95)*((B95*1000)-$B$15)^3</f>
        <v>#DIV/0!</v>
      </c>
      <c r="T95" s="204" t="e">
        <f t="shared" ref="T95:T158" si="32">(F95)*((B95*1000)-$B$15)^4</f>
        <v>#DIV/0!</v>
      </c>
      <c r="U95" s="105" t="e">
        <f t="shared" ref="U95:U158" si="33">LOG(((2^(-D95))*1000),10)</f>
        <v>#NUM!</v>
      </c>
      <c r="V95" s="187" t="e">
        <f t="shared" ref="V95:V158" si="34">U95*F95</f>
        <v>#NUM!</v>
      </c>
      <c r="W95" s="204" t="e">
        <f t="shared" ref="W95:W158" si="35">(F95)*(U95-LOG($E$15))^2</f>
        <v>#DIV/0!</v>
      </c>
      <c r="X95" s="204" t="e">
        <f t="shared" ref="X95:X158" si="36">(F95)*(U95-LOG($E$15))^3</f>
        <v>#DIV/0!</v>
      </c>
      <c r="Y95" s="204" t="e">
        <f t="shared" ref="Y95:Y158" si="37">(F95)*(U95-LOG($E$15))^4</f>
        <v>#DIV/0!</v>
      </c>
    </row>
    <row r="96" spans="1:26" x14ac:dyDescent="0.2">
      <c r="A96" s="201">
        <v>0</v>
      </c>
      <c r="B96" s="14">
        <f t="shared" si="20"/>
        <v>0</v>
      </c>
      <c r="C96" s="14" t="e">
        <f t="shared" si="23"/>
        <v>#NUM!</v>
      </c>
      <c r="D96" s="202" t="e">
        <f t="shared" si="21"/>
        <v>#NUM!</v>
      </c>
      <c r="E96" s="203" t="e">
        <f t="shared" ref="E96:E159" si="38">F96+E95</f>
        <v>#DIV/0!</v>
      </c>
      <c r="F96" s="201" t="e">
        <f t="shared" si="24"/>
        <v>#DIV/0!</v>
      </c>
      <c r="G96" s="201"/>
      <c r="H96" s="207">
        <f t="shared" si="25"/>
        <v>0</v>
      </c>
      <c r="I96" s="201" t="e">
        <f t="shared" si="22"/>
        <v>#NUM!</v>
      </c>
      <c r="J96" s="204" t="e">
        <f t="shared" si="26"/>
        <v>#DIV/0!</v>
      </c>
      <c r="K96" s="204" t="e">
        <f t="shared" si="27"/>
        <v>#DIV/0!</v>
      </c>
      <c r="L96" s="204" t="e">
        <f t="shared" si="28"/>
        <v>#DIV/0!</v>
      </c>
      <c r="M96" s="277" t="e">
        <f t="shared" ref="M96:M159" si="39">((2^(-D96))*1000)</f>
        <v>#NUM!</v>
      </c>
      <c r="N96" s="201"/>
      <c r="O96" s="205" t="e">
        <f t="shared" ref="O96:O159" si="40">(N96*100)/$A$13</f>
        <v>#DIV/0!</v>
      </c>
      <c r="Q96" s="201" t="e">
        <f t="shared" si="29"/>
        <v>#DIV/0!</v>
      </c>
      <c r="R96" s="204" t="e">
        <f t="shared" si="30"/>
        <v>#DIV/0!</v>
      </c>
      <c r="S96" s="204" t="e">
        <f t="shared" si="31"/>
        <v>#DIV/0!</v>
      </c>
      <c r="T96" s="204" t="e">
        <f t="shared" si="32"/>
        <v>#DIV/0!</v>
      </c>
      <c r="U96" s="105" t="e">
        <f t="shared" si="33"/>
        <v>#NUM!</v>
      </c>
      <c r="V96" s="187" t="e">
        <f t="shared" si="34"/>
        <v>#NUM!</v>
      </c>
      <c r="W96" s="204" t="e">
        <f t="shared" si="35"/>
        <v>#DIV/0!</v>
      </c>
      <c r="X96" s="204" t="e">
        <f t="shared" si="36"/>
        <v>#DIV/0!</v>
      </c>
      <c r="Y96" s="204" t="e">
        <f t="shared" si="37"/>
        <v>#DIV/0!</v>
      </c>
    </row>
    <row r="97" spans="1:25" x14ac:dyDescent="0.2">
      <c r="A97" s="201">
        <v>0</v>
      </c>
      <c r="B97" s="14">
        <f t="shared" ref="B97:B160" si="41">IF(A97=0,IF(A96&gt;0,IF(B96&gt;0.001,((A96+(2^(-10)))/2),0),0),(A96+A97)/2)</f>
        <v>0</v>
      </c>
      <c r="C97" s="14" t="e">
        <f t="shared" si="23"/>
        <v>#NUM!</v>
      </c>
      <c r="D97" s="202" t="e">
        <f t="shared" si="21"/>
        <v>#NUM!</v>
      </c>
      <c r="E97" s="203" t="e">
        <f t="shared" si="38"/>
        <v>#DIV/0!</v>
      </c>
      <c r="F97" s="201" t="e">
        <f t="shared" si="24"/>
        <v>#DIV/0!</v>
      </c>
      <c r="G97" s="201"/>
      <c r="H97" s="207">
        <f t="shared" si="25"/>
        <v>0</v>
      </c>
      <c r="I97" s="201" t="e">
        <f t="shared" si="22"/>
        <v>#NUM!</v>
      </c>
      <c r="J97" s="204" t="e">
        <f t="shared" si="26"/>
        <v>#DIV/0!</v>
      </c>
      <c r="K97" s="204" t="e">
        <f t="shared" si="27"/>
        <v>#DIV/0!</v>
      </c>
      <c r="L97" s="204" t="e">
        <f t="shared" si="28"/>
        <v>#DIV/0!</v>
      </c>
      <c r="M97" s="277" t="e">
        <f t="shared" si="39"/>
        <v>#NUM!</v>
      </c>
      <c r="N97" s="201"/>
      <c r="O97" s="205" t="e">
        <f t="shared" si="40"/>
        <v>#DIV/0!</v>
      </c>
      <c r="Q97" s="201" t="e">
        <f t="shared" si="29"/>
        <v>#DIV/0!</v>
      </c>
      <c r="R97" s="204" t="e">
        <f t="shared" si="30"/>
        <v>#DIV/0!</v>
      </c>
      <c r="S97" s="204" t="e">
        <f t="shared" si="31"/>
        <v>#DIV/0!</v>
      </c>
      <c r="T97" s="204" t="e">
        <f t="shared" si="32"/>
        <v>#DIV/0!</v>
      </c>
      <c r="U97" s="105" t="e">
        <f t="shared" si="33"/>
        <v>#NUM!</v>
      </c>
      <c r="V97" s="187" t="e">
        <f t="shared" si="34"/>
        <v>#NUM!</v>
      </c>
      <c r="W97" s="204" t="e">
        <f t="shared" si="35"/>
        <v>#DIV/0!</v>
      </c>
      <c r="X97" s="204" t="e">
        <f t="shared" si="36"/>
        <v>#DIV/0!</v>
      </c>
      <c r="Y97" s="204" t="e">
        <f t="shared" si="37"/>
        <v>#DIV/0!</v>
      </c>
    </row>
    <row r="98" spans="1:25" x14ac:dyDescent="0.2">
      <c r="A98" s="201">
        <v>0</v>
      </c>
      <c r="B98" s="14">
        <f t="shared" si="41"/>
        <v>0</v>
      </c>
      <c r="C98" s="14" t="e">
        <f t="shared" si="23"/>
        <v>#NUM!</v>
      </c>
      <c r="D98" s="202" t="e">
        <f t="shared" si="21"/>
        <v>#NUM!</v>
      </c>
      <c r="E98" s="203" t="e">
        <f t="shared" si="38"/>
        <v>#DIV/0!</v>
      </c>
      <c r="F98" s="201" t="e">
        <f t="shared" si="24"/>
        <v>#DIV/0!</v>
      </c>
      <c r="G98" s="201"/>
      <c r="H98" s="207">
        <f t="shared" si="25"/>
        <v>0</v>
      </c>
      <c r="I98" s="201" t="e">
        <f t="shared" si="22"/>
        <v>#NUM!</v>
      </c>
      <c r="J98" s="204" t="e">
        <f t="shared" si="26"/>
        <v>#DIV/0!</v>
      </c>
      <c r="K98" s="204" t="e">
        <f t="shared" si="27"/>
        <v>#DIV/0!</v>
      </c>
      <c r="L98" s="204" t="e">
        <f t="shared" si="28"/>
        <v>#DIV/0!</v>
      </c>
      <c r="M98" s="277" t="e">
        <f t="shared" si="39"/>
        <v>#NUM!</v>
      </c>
      <c r="N98" s="201"/>
      <c r="O98" s="205" t="e">
        <f t="shared" si="40"/>
        <v>#DIV/0!</v>
      </c>
      <c r="Q98" s="201" t="e">
        <f t="shared" si="29"/>
        <v>#DIV/0!</v>
      </c>
      <c r="R98" s="204" t="e">
        <f t="shared" si="30"/>
        <v>#DIV/0!</v>
      </c>
      <c r="S98" s="204" t="e">
        <f t="shared" si="31"/>
        <v>#DIV/0!</v>
      </c>
      <c r="T98" s="204" t="e">
        <f t="shared" si="32"/>
        <v>#DIV/0!</v>
      </c>
      <c r="U98" s="105" t="e">
        <f t="shared" si="33"/>
        <v>#NUM!</v>
      </c>
      <c r="V98" s="187" t="e">
        <f t="shared" si="34"/>
        <v>#NUM!</v>
      </c>
      <c r="W98" s="204" t="e">
        <f t="shared" si="35"/>
        <v>#DIV/0!</v>
      </c>
      <c r="X98" s="204" t="e">
        <f t="shared" si="36"/>
        <v>#DIV/0!</v>
      </c>
      <c r="Y98" s="204" t="e">
        <f t="shared" si="37"/>
        <v>#DIV/0!</v>
      </c>
    </row>
    <row r="99" spans="1:25" x14ac:dyDescent="0.2">
      <c r="A99" s="201">
        <v>0</v>
      </c>
      <c r="B99" s="14">
        <f t="shared" si="41"/>
        <v>0</v>
      </c>
      <c r="C99" s="14" t="e">
        <f t="shared" si="23"/>
        <v>#NUM!</v>
      </c>
      <c r="D99" s="202" t="e">
        <f t="shared" si="21"/>
        <v>#NUM!</v>
      </c>
      <c r="E99" s="203" t="e">
        <f t="shared" si="38"/>
        <v>#DIV/0!</v>
      </c>
      <c r="F99" s="201" t="e">
        <f t="shared" si="24"/>
        <v>#DIV/0!</v>
      </c>
      <c r="G99" s="201"/>
      <c r="H99" s="207">
        <f t="shared" si="25"/>
        <v>0</v>
      </c>
      <c r="I99" s="201" t="e">
        <f t="shared" si="22"/>
        <v>#NUM!</v>
      </c>
      <c r="J99" s="204" t="e">
        <f t="shared" si="26"/>
        <v>#DIV/0!</v>
      </c>
      <c r="K99" s="204" t="e">
        <f t="shared" si="27"/>
        <v>#DIV/0!</v>
      </c>
      <c r="L99" s="204" t="e">
        <f t="shared" si="28"/>
        <v>#DIV/0!</v>
      </c>
      <c r="M99" s="277" t="e">
        <f t="shared" si="39"/>
        <v>#NUM!</v>
      </c>
      <c r="N99" s="201"/>
      <c r="O99" s="205" t="e">
        <f t="shared" si="40"/>
        <v>#DIV/0!</v>
      </c>
      <c r="Q99" s="201" t="e">
        <f t="shared" si="29"/>
        <v>#DIV/0!</v>
      </c>
      <c r="R99" s="204" t="e">
        <f t="shared" si="30"/>
        <v>#DIV/0!</v>
      </c>
      <c r="S99" s="204" t="e">
        <f t="shared" si="31"/>
        <v>#DIV/0!</v>
      </c>
      <c r="T99" s="204" t="e">
        <f t="shared" si="32"/>
        <v>#DIV/0!</v>
      </c>
      <c r="U99" s="105" t="e">
        <f t="shared" si="33"/>
        <v>#NUM!</v>
      </c>
      <c r="V99" s="187" t="e">
        <f t="shared" si="34"/>
        <v>#NUM!</v>
      </c>
      <c r="W99" s="204" t="e">
        <f t="shared" si="35"/>
        <v>#DIV/0!</v>
      </c>
      <c r="X99" s="204" t="e">
        <f t="shared" si="36"/>
        <v>#DIV/0!</v>
      </c>
      <c r="Y99" s="204" t="e">
        <f t="shared" si="37"/>
        <v>#DIV/0!</v>
      </c>
    </row>
    <row r="100" spans="1:25" x14ac:dyDescent="0.2">
      <c r="A100" s="201">
        <v>0</v>
      </c>
      <c r="B100" s="14">
        <f t="shared" si="41"/>
        <v>0</v>
      </c>
      <c r="C100" s="14" t="e">
        <f t="shared" si="23"/>
        <v>#NUM!</v>
      </c>
      <c r="D100" s="202" t="e">
        <f t="shared" si="21"/>
        <v>#NUM!</v>
      </c>
      <c r="E100" s="203" t="e">
        <f t="shared" si="38"/>
        <v>#DIV/0!</v>
      </c>
      <c r="F100" s="201" t="e">
        <f t="shared" si="24"/>
        <v>#DIV/0!</v>
      </c>
      <c r="G100" s="201"/>
      <c r="H100" s="207">
        <f t="shared" si="25"/>
        <v>0</v>
      </c>
      <c r="I100" s="201" t="e">
        <f t="shared" si="22"/>
        <v>#NUM!</v>
      </c>
      <c r="J100" s="204" t="e">
        <f t="shared" si="26"/>
        <v>#DIV/0!</v>
      </c>
      <c r="K100" s="204" t="e">
        <f t="shared" si="27"/>
        <v>#DIV/0!</v>
      </c>
      <c r="L100" s="204" t="e">
        <f t="shared" si="28"/>
        <v>#DIV/0!</v>
      </c>
      <c r="M100" s="277" t="e">
        <f t="shared" si="39"/>
        <v>#NUM!</v>
      </c>
      <c r="N100" s="201"/>
      <c r="O100" s="205" t="e">
        <f t="shared" si="40"/>
        <v>#DIV/0!</v>
      </c>
      <c r="Q100" s="201" t="e">
        <f t="shared" si="29"/>
        <v>#DIV/0!</v>
      </c>
      <c r="R100" s="204" t="e">
        <f t="shared" si="30"/>
        <v>#DIV/0!</v>
      </c>
      <c r="S100" s="204" t="e">
        <f t="shared" si="31"/>
        <v>#DIV/0!</v>
      </c>
      <c r="T100" s="204" t="e">
        <f t="shared" si="32"/>
        <v>#DIV/0!</v>
      </c>
      <c r="U100" s="105" t="e">
        <f t="shared" si="33"/>
        <v>#NUM!</v>
      </c>
      <c r="V100" s="187" t="e">
        <f t="shared" si="34"/>
        <v>#NUM!</v>
      </c>
      <c r="W100" s="204" t="e">
        <f t="shared" si="35"/>
        <v>#DIV/0!</v>
      </c>
      <c r="X100" s="204" t="e">
        <f t="shared" si="36"/>
        <v>#DIV/0!</v>
      </c>
      <c r="Y100" s="204" t="e">
        <f t="shared" si="37"/>
        <v>#DIV/0!</v>
      </c>
    </row>
    <row r="101" spans="1:25" x14ac:dyDescent="0.2">
      <c r="A101" s="201">
        <v>0</v>
      </c>
      <c r="B101" s="14">
        <f t="shared" si="41"/>
        <v>0</v>
      </c>
      <c r="C101" s="14" t="e">
        <f t="shared" si="23"/>
        <v>#NUM!</v>
      </c>
      <c r="D101" s="202" t="e">
        <f t="shared" si="21"/>
        <v>#NUM!</v>
      </c>
      <c r="E101" s="203" t="e">
        <f t="shared" si="38"/>
        <v>#DIV/0!</v>
      </c>
      <c r="F101" s="201" t="e">
        <f t="shared" si="24"/>
        <v>#DIV/0!</v>
      </c>
      <c r="G101" s="201"/>
      <c r="H101" s="207">
        <f t="shared" si="25"/>
        <v>0</v>
      </c>
      <c r="I101" s="201" t="e">
        <f t="shared" si="22"/>
        <v>#NUM!</v>
      </c>
      <c r="J101" s="204" t="e">
        <f t="shared" si="26"/>
        <v>#DIV/0!</v>
      </c>
      <c r="K101" s="204" t="e">
        <f t="shared" si="27"/>
        <v>#DIV/0!</v>
      </c>
      <c r="L101" s="204" t="e">
        <f t="shared" si="28"/>
        <v>#DIV/0!</v>
      </c>
      <c r="M101" s="277" t="e">
        <f t="shared" si="39"/>
        <v>#NUM!</v>
      </c>
      <c r="N101" s="201"/>
      <c r="O101" s="205" t="e">
        <f t="shared" si="40"/>
        <v>#DIV/0!</v>
      </c>
      <c r="Q101" s="201" t="e">
        <f t="shared" si="29"/>
        <v>#DIV/0!</v>
      </c>
      <c r="R101" s="204" t="e">
        <f t="shared" si="30"/>
        <v>#DIV/0!</v>
      </c>
      <c r="S101" s="204" t="e">
        <f t="shared" si="31"/>
        <v>#DIV/0!</v>
      </c>
      <c r="T101" s="204" t="e">
        <f t="shared" si="32"/>
        <v>#DIV/0!</v>
      </c>
      <c r="U101" s="105" t="e">
        <f t="shared" si="33"/>
        <v>#NUM!</v>
      </c>
      <c r="V101" s="187" t="e">
        <f t="shared" si="34"/>
        <v>#NUM!</v>
      </c>
      <c r="W101" s="204" t="e">
        <f t="shared" si="35"/>
        <v>#DIV/0!</v>
      </c>
      <c r="X101" s="204" t="e">
        <f t="shared" si="36"/>
        <v>#DIV/0!</v>
      </c>
      <c r="Y101" s="204" t="e">
        <f t="shared" si="37"/>
        <v>#DIV/0!</v>
      </c>
    </row>
    <row r="102" spans="1:25" x14ac:dyDescent="0.2">
      <c r="A102" s="201">
        <v>0</v>
      </c>
      <c r="B102" s="14">
        <f t="shared" si="41"/>
        <v>0</v>
      </c>
      <c r="C102" s="14" t="e">
        <f t="shared" si="23"/>
        <v>#NUM!</v>
      </c>
      <c r="D102" s="202" t="e">
        <f t="shared" si="21"/>
        <v>#NUM!</v>
      </c>
      <c r="E102" s="203" t="e">
        <f t="shared" si="38"/>
        <v>#DIV/0!</v>
      </c>
      <c r="F102" s="201" t="e">
        <f t="shared" si="24"/>
        <v>#DIV/0!</v>
      </c>
      <c r="G102" s="201"/>
      <c r="H102" s="207">
        <f t="shared" si="25"/>
        <v>0</v>
      </c>
      <c r="I102" s="201" t="e">
        <f t="shared" si="22"/>
        <v>#NUM!</v>
      </c>
      <c r="J102" s="204" t="e">
        <f t="shared" si="26"/>
        <v>#DIV/0!</v>
      </c>
      <c r="K102" s="204" t="e">
        <f t="shared" si="27"/>
        <v>#DIV/0!</v>
      </c>
      <c r="L102" s="204" t="e">
        <f t="shared" si="28"/>
        <v>#DIV/0!</v>
      </c>
      <c r="M102" s="277" t="e">
        <f t="shared" si="39"/>
        <v>#NUM!</v>
      </c>
      <c r="N102" s="201"/>
      <c r="O102" s="205" t="e">
        <f t="shared" si="40"/>
        <v>#DIV/0!</v>
      </c>
      <c r="Q102" s="201" t="e">
        <f t="shared" si="29"/>
        <v>#DIV/0!</v>
      </c>
      <c r="R102" s="204" t="e">
        <f t="shared" si="30"/>
        <v>#DIV/0!</v>
      </c>
      <c r="S102" s="204" t="e">
        <f t="shared" si="31"/>
        <v>#DIV/0!</v>
      </c>
      <c r="T102" s="204" t="e">
        <f t="shared" si="32"/>
        <v>#DIV/0!</v>
      </c>
      <c r="U102" s="105" t="e">
        <f t="shared" si="33"/>
        <v>#NUM!</v>
      </c>
      <c r="V102" s="187" t="e">
        <f t="shared" si="34"/>
        <v>#NUM!</v>
      </c>
      <c r="W102" s="204" t="e">
        <f t="shared" si="35"/>
        <v>#DIV/0!</v>
      </c>
      <c r="X102" s="204" t="e">
        <f t="shared" si="36"/>
        <v>#DIV/0!</v>
      </c>
      <c r="Y102" s="204" t="e">
        <f t="shared" si="37"/>
        <v>#DIV/0!</v>
      </c>
    </row>
    <row r="103" spans="1:25" x14ac:dyDescent="0.2">
      <c r="A103" s="201">
        <v>0</v>
      </c>
      <c r="B103" s="14">
        <f t="shared" si="41"/>
        <v>0</v>
      </c>
      <c r="C103" s="14" t="e">
        <f t="shared" si="23"/>
        <v>#NUM!</v>
      </c>
      <c r="D103" s="202" t="e">
        <f t="shared" si="21"/>
        <v>#NUM!</v>
      </c>
      <c r="E103" s="203" t="e">
        <f t="shared" si="38"/>
        <v>#DIV/0!</v>
      </c>
      <c r="F103" s="201" t="e">
        <f t="shared" si="24"/>
        <v>#DIV/0!</v>
      </c>
      <c r="G103" s="201"/>
      <c r="H103" s="207">
        <f t="shared" si="25"/>
        <v>0</v>
      </c>
      <c r="I103" s="201" t="e">
        <f t="shared" si="22"/>
        <v>#NUM!</v>
      </c>
      <c r="J103" s="204" t="e">
        <f t="shared" si="26"/>
        <v>#DIV/0!</v>
      </c>
      <c r="K103" s="204" t="e">
        <f t="shared" si="27"/>
        <v>#DIV/0!</v>
      </c>
      <c r="L103" s="204" t="e">
        <f t="shared" si="28"/>
        <v>#DIV/0!</v>
      </c>
      <c r="M103" s="277" t="e">
        <f t="shared" si="39"/>
        <v>#NUM!</v>
      </c>
      <c r="N103" s="201"/>
      <c r="O103" s="205" t="e">
        <f t="shared" si="40"/>
        <v>#DIV/0!</v>
      </c>
      <c r="Q103" s="201" t="e">
        <f t="shared" si="29"/>
        <v>#DIV/0!</v>
      </c>
      <c r="R103" s="204" t="e">
        <f t="shared" si="30"/>
        <v>#DIV/0!</v>
      </c>
      <c r="S103" s="204" t="e">
        <f t="shared" si="31"/>
        <v>#DIV/0!</v>
      </c>
      <c r="T103" s="204" t="e">
        <f t="shared" si="32"/>
        <v>#DIV/0!</v>
      </c>
      <c r="U103" s="105" t="e">
        <f t="shared" si="33"/>
        <v>#NUM!</v>
      </c>
      <c r="V103" s="187" t="e">
        <f t="shared" si="34"/>
        <v>#NUM!</v>
      </c>
      <c r="W103" s="204" t="e">
        <f t="shared" si="35"/>
        <v>#DIV/0!</v>
      </c>
      <c r="X103" s="204" t="e">
        <f t="shared" si="36"/>
        <v>#DIV/0!</v>
      </c>
      <c r="Y103" s="204" t="e">
        <f t="shared" si="37"/>
        <v>#DIV/0!</v>
      </c>
    </row>
    <row r="104" spans="1:25" x14ac:dyDescent="0.2">
      <c r="A104" s="201">
        <v>0</v>
      </c>
      <c r="B104" s="14">
        <f t="shared" si="41"/>
        <v>0</v>
      </c>
      <c r="C104" s="14" t="e">
        <f t="shared" si="23"/>
        <v>#NUM!</v>
      </c>
      <c r="D104" s="202" t="e">
        <f t="shared" si="21"/>
        <v>#NUM!</v>
      </c>
      <c r="E104" s="203" t="e">
        <f t="shared" si="38"/>
        <v>#DIV/0!</v>
      </c>
      <c r="F104" s="201" t="e">
        <f t="shared" si="24"/>
        <v>#DIV/0!</v>
      </c>
      <c r="G104" s="201"/>
      <c r="H104" s="207">
        <f t="shared" si="25"/>
        <v>0</v>
      </c>
      <c r="I104" s="201" t="e">
        <f t="shared" si="22"/>
        <v>#NUM!</v>
      </c>
      <c r="J104" s="204" t="e">
        <f t="shared" si="26"/>
        <v>#DIV/0!</v>
      </c>
      <c r="K104" s="204" t="e">
        <f t="shared" si="27"/>
        <v>#DIV/0!</v>
      </c>
      <c r="L104" s="204" t="e">
        <f t="shared" si="28"/>
        <v>#DIV/0!</v>
      </c>
      <c r="M104" s="277" t="e">
        <f t="shared" si="39"/>
        <v>#NUM!</v>
      </c>
      <c r="N104" s="201"/>
      <c r="O104" s="205" t="e">
        <f t="shared" si="40"/>
        <v>#DIV/0!</v>
      </c>
      <c r="Q104" s="201" t="e">
        <f t="shared" si="29"/>
        <v>#DIV/0!</v>
      </c>
      <c r="R104" s="204" t="e">
        <f t="shared" si="30"/>
        <v>#DIV/0!</v>
      </c>
      <c r="S104" s="204" t="e">
        <f t="shared" si="31"/>
        <v>#DIV/0!</v>
      </c>
      <c r="T104" s="204" t="e">
        <f t="shared" si="32"/>
        <v>#DIV/0!</v>
      </c>
      <c r="U104" s="105" t="e">
        <f t="shared" si="33"/>
        <v>#NUM!</v>
      </c>
      <c r="V104" s="187" t="e">
        <f t="shared" si="34"/>
        <v>#NUM!</v>
      </c>
      <c r="W104" s="204" t="e">
        <f t="shared" si="35"/>
        <v>#DIV/0!</v>
      </c>
      <c r="X104" s="204" t="e">
        <f t="shared" si="36"/>
        <v>#DIV/0!</v>
      </c>
      <c r="Y104" s="204" t="e">
        <f t="shared" si="37"/>
        <v>#DIV/0!</v>
      </c>
    </row>
    <row r="105" spans="1:25" x14ac:dyDescent="0.2">
      <c r="A105" s="201">
        <v>0</v>
      </c>
      <c r="B105" s="14">
        <f t="shared" si="41"/>
        <v>0</v>
      </c>
      <c r="C105" s="14" t="e">
        <f t="shared" si="23"/>
        <v>#NUM!</v>
      </c>
      <c r="D105" s="202" t="e">
        <f t="shared" si="21"/>
        <v>#NUM!</v>
      </c>
      <c r="E105" s="203" t="e">
        <f t="shared" si="38"/>
        <v>#DIV/0!</v>
      </c>
      <c r="F105" s="201" t="e">
        <f t="shared" si="24"/>
        <v>#DIV/0!</v>
      </c>
      <c r="G105" s="201"/>
      <c r="H105" s="207">
        <f t="shared" si="25"/>
        <v>0</v>
      </c>
      <c r="I105" s="201" t="e">
        <f t="shared" si="22"/>
        <v>#NUM!</v>
      </c>
      <c r="J105" s="204" t="e">
        <f t="shared" si="26"/>
        <v>#DIV/0!</v>
      </c>
      <c r="K105" s="204" t="e">
        <f t="shared" si="27"/>
        <v>#DIV/0!</v>
      </c>
      <c r="L105" s="204" t="e">
        <f t="shared" si="28"/>
        <v>#DIV/0!</v>
      </c>
      <c r="M105" s="277" t="e">
        <f t="shared" si="39"/>
        <v>#NUM!</v>
      </c>
      <c r="N105" s="201"/>
      <c r="O105" s="205" t="e">
        <f t="shared" si="40"/>
        <v>#DIV/0!</v>
      </c>
      <c r="Q105" s="201" t="e">
        <f t="shared" si="29"/>
        <v>#DIV/0!</v>
      </c>
      <c r="R105" s="204" t="e">
        <f t="shared" si="30"/>
        <v>#DIV/0!</v>
      </c>
      <c r="S105" s="204" t="e">
        <f t="shared" si="31"/>
        <v>#DIV/0!</v>
      </c>
      <c r="T105" s="204" t="e">
        <f t="shared" si="32"/>
        <v>#DIV/0!</v>
      </c>
      <c r="U105" s="105" t="e">
        <f t="shared" si="33"/>
        <v>#NUM!</v>
      </c>
      <c r="V105" s="187" t="e">
        <f t="shared" si="34"/>
        <v>#NUM!</v>
      </c>
      <c r="W105" s="204" t="e">
        <f t="shared" si="35"/>
        <v>#DIV/0!</v>
      </c>
      <c r="X105" s="204" t="e">
        <f t="shared" si="36"/>
        <v>#DIV/0!</v>
      </c>
      <c r="Y105" s="204" t="e">
        <f t="shared" si="37"/>
        <v>#DIV/0!</v>
      </c>
    </row>
    <row r="106" spans="1:25" x14ac:dyDescent="0.2">
      <c r="A106" s="201">
        <v>0</v>
      </c>
      <c r="B106" s="14">
        <f t="shared" si="41"/>
        <v>0</v>
      </c>
      <c r="C106" s="14" t="e">
        <f t="shared" si="23"/>
        <v>#NUM!</v>
      </c>
      <c r="D106" s="202" t="e">
        <f t="shared" si="21"/>
        <v>#NUM!</v>
      </c>
      <c r="E106" s="203" t="e">
        <f t="shared" si="38"/>
        <v>#DIV/0!</v>
      </c>
      <c r="F106" s="201" t="e">
        <f t="shared" si="24"/>
        <v>#DIV/0!</v>
      </c>
      <c r="G106" s="201"/>
      <c r="H106" s="207">
        <f t="shared" si="25"/>
        <v>0</v>
      </c>
      <c r="I106" s="201" t="e">
        <f t="shared" si="22"/>
        <v>#NUM!</v>
      </c>
      <c r="J106" s="204" t="e">
        <f t="shared" si="26"/>
        <v>#DIV/0!</v>
      </c>
      <c r="K106" s="204" t="e">
        <f t="shared" si="27"/>
        <v>#DIV/0!</v>
      </c>
      <c r="L106" s="204" t="e">
        <f t="shared" si="28"/>
        <v>#DIV/0!</v>
      </c>
      <c r="M106" s="277" t="e">
        <f t="shared" si="39"/>
        <v>#NUM!</v>
      </c>
      <c r="N106" s="201"/>
      <c r="O106" s="205" t="e">
        <f t="shared" si="40"/>
        <v>#DIV/0!</v>
      </c>
      <c r="Q106" s="201" t="e">
        <f t="shared" si="29"/>
        <v>#DIV/0!</v>
      </c>
      <c r="R106" s="204" t="e">
        <f t="shared" si="30"/>
        <v>#DIV/0!</v>
      </c>
      <c r="S106" s="204" t="e">
        <f t="shared" si="31"/>
        <v>#DIV/0!</v>
      </c>
      <c r="T106" s="204" t="e">
        <f t="shared" si="32"/>
        <v>#DIV/0!</v>
      </c>
      <c r="U106" s="105" t="e">
        <f t="shared" si="33"/>
        <v>#NUM!</v>
      </c>
      <c r="V106" s="187" t="e">
        <f t="shared" si="34"/>
        <v>#NUM!</v>
      </c>
      <c r="W106" s="204" t="e">
        <f t="shared" si="35"/>
        <v>#DIV/0!</v>
      </c>
      <c r="X106" s="204" t="e">
        <f t="shared" si="36"/>
        <v>#DIV/0!</v>
      </c>
      <c r="Y106" s="204" t="e">
        <f t="shared" si="37"/>
        <v>#DIV/0!</v>
      </c>
    </row>
    <row r="107" spans="1:25" x14ac:dyDescent="0.2">
      <c r="A107" s="201">
        <v>0</v>
      </c>
      <c r="B107" s="14">
        <f t="shared" si="41"/>
        <v>0</v>
      </c>
      <c r="C107" s="14" t="e">
        <f t="shared" si="23"/>
        <v>#NUM!</v>
      </c>
      <c r="D107" s="202" t="e">
        <f t="shared" si="21"/>
        <v>#NUM!</v>
      </c>
      <c r="E107" s="203" t="e">
        <f t="shared" si="38"/>
        <v>#DIV/0!</v>
      </c>
      <c r="F107" s="201" t="e">
        <f t="shared" si="24"/>
        <v>#DIV/0!</v>
      </c>
      <c r="G107" s="201"/>
      <c r="H107" s="207">
        <f t="shared" si="25"/>
        <v>0</v>
      </c>
      <c r="I107" s="201" t="e">
        <f t="shared" si="22"/>
        <v>#NUM!</v>
      </c>
      <c r="J107" s="204" t="e">
        <f t="shared" si="26"/>
        <v>#DIV/0!</v>
      </c>
      <c r="K107" s="204" t="e">
        <f t="shared" si="27"/>
        <v>#DIV/0!</v>
      </c>
      <c r="L107" s="204" t="e">
        <f t="shared" si="28"/>
        <v>#DIV/0!</v>
      </c>
      <c r="M107" s="277" t="e">
        <f t="shared" si="39"/>
        <v>#NUM!</v>
      </c>
      <c r="N107" s="201"/>
      <c r="O107" s="205" t="e">
        <f t="shared" si="40"/>
        <v>#DIV/0!</v>
      </c>
      <c r="Q107" s="201" t="e">
        <f t="shared" si="29"/>
        <v>#DIV/0!</v>
      </c>
      <c r="R107" s="204" t="e">
        <f t="shared" si="30"/>
        <v>#DIV/0!</v>
      </c>
      <c r="S107" s="204" t="e">
        <f t="shared" si="31"/>
        <v>#DIV/0!</v>
      </c>
      <c r="T107" s="204" t="e">
        <f t="shared" si="32"/>
        <v>#DIV/0!</v>
      </c>
      <c r="U107" s="105" t="e">
        <f t="shared" si="33"/>
        <v>#NUM!</v>
      </c>
      <c r="V107" s="187" t="e">
        <f t="shared" si="34"/>
        <v>#NUM!</v>
      </c>
      <c r="W107" s="204" t="e">
        <f t="shared" si="35"/>
        <v>#DIV/0!</v>
      </c>
      <c r="X107" s="204" t="e">
        <f t="shared" si="36"/>
        <v>#DIV/0!</v>
      </c>
      <c r="Y107" s="204" t="e">
        <f t="shared" si="37"/>
        <v>#DIV/0!</v>
      </c>
    </row>
    <row r="108" spans="1:25" x14ac:dyDescent="0.2">
      <c r="A108" s="201">
        <v>0</v>
      </c>
      <c r="B108" s="14">
        <f t="shared" si="41"/>
        <v>0</v>
      </c>
      <c r="C108" s="14" t="e">
        <f t="shared" si="23"/>
        <v>#NUM!</v>
      </c>
      <c r="D108" s="202" t="e">
        <f t="shared" si="21"/>
        <v>#NUM!</v>
      </c>
      <c r="E108" s="203" t="e">
        <f t="shared" si="38"/>
        <v>#DIV/0!</v>
      </c>
      <c r="F108" s="201" t="e">
        <f t="shared" si="24"/>
        <v>#DIV/0!</v>
      </c>
      <c r="G108" s="201"/>
      <c r="H108" s="207">
        <f t="shared" si="25"/>
        <v>0</v>
      </c>
      <c r="I108" s="201" t="e">
        <f t="shared" si="22"/>
        <v>#NUM!</v>
      </c>
      <c r="J108" s="204" t="e">
        <f t="shared" si="26"/>
        <v>#DIV/0!</v>
      </c>
      <c r="K108" s="204" t="e">
        <f t="shared" si="27"/>
        <v>#DIV/0!</v>
      </c>
      <c r="L108" s="204" t="e">
        <f t="shared" si="28"/>
        <v>#DIV/0!</v>
      </c>
      <c r="M108" s="277" t="e">
        <f t="shared" si="39"/>
        <v>#NUM!</v>
      </c>
      <c r="N108" s="201"/>
      <c r="O108" s="205" t="e">
        <f t="shared" si="40"/>
        <v>#DIV/0!</v>
      </c>
      <c r="Q108" s="201" t="e">
        <f t="shared" si="29"/>
        <v>#DIV/0!</v>
      </c>
      <c r="R108" s="204" t="e">
        <f t="shared" si="30"/>
        <v>#DIV/0!</v>
      </c>
      <c r="S108" s="204" t="e">
        <f t="shared" si="31"/>
        <v>#DIV/0!</v>
      </c>
      <c r="T108" s="204" t="e">
        <f t="shared" si="32"/>
        <v>#DIV/0!</v>
      </c>
      <c r="U108" s="105" t="e">
        <f t="shared" si="33"/>
        <v>#NUM!</v>
      </c>
      <c r="V108" s="187" t="e">
        <f t="shared" si="34"/>
        <v>#NUM!</v>
      </c>
      <c r="W108" s="204" t="e">
        <f t="shared" si="35"/>
        <v>#DIV/0!</v>
      </c>
      <c r="X108" s="204" t="e">
        <f t="shared" si="36"/>
        <v>#DIV/0!</v>
      </c>
      <c r="Y108" s="204" t="e">
        <f t="shared" si="37"/>
        <v>#DIV/0!</v>
      </c>
    </row>
    <row r="109" spans="1:25" x14ac:dyDescent="0.2">
      <c r="A109" s="201">
        <v>0</v>
      </c>
      <c r="B109" s="14">
        <f t="shared" si="41"/>
        <v>0</v>
      </c>
      <c r="C109" s="14" t="e">
        <f t="shared" si="23"/>
        <v>#NUM!</v>
      </c>
      <c r="D109" s="202" t="e">
        <f t="shared" si="21"/>
        <v>#NUM!</v>
      </c>
      <c r="E109" s="203" t="e">
        <f t="shared" si="38"/>
        <v>#DIV/0!</v>
      </c>
      <c r="F109" s="201" t="e">
        <f t="shared" si="24"/>
        <v>#DIV/0!</v>
      </c>
      <c r="G109" s="201"/>
      <c r="H109" s="207">
        <f t="shared" si="25"/>
        <v>0</v>
      </c>
      <c r="I109" s="201" t="e">
        <f t="shared" si="22"/>
        <v>#NUM!</v>
      </c>
      <c r="J109" s="204" t="e">
        <f t="shared" si="26"/>
        <v>#DIV/0!</v>
      </c>
      <c r="K109" s="204" t="e">
        <f t="shared" si="27"/>
        <v>#DIV/0!</v>
      </c>
      <c r="L109" s="204" t="e">
        <f t="shared" si="28"/>
        <v>#DIV/0!</v>
      </c>
      <c r="M109" s="277" t="e">
        <f t="shared" si="39"/>
        <v>#NUM!</v>
      </c>
      <c r="N109" s="201"/>
      <c r="O109" s="205" t="e">
        <f t="shared" si="40"/>
        <v>#DIV/0!</v>
      </c>
      <c r="Q109" s="201" t="e">
        <f t="shared" si="29"/>
        <v>#DIV/0!</v>
      </c>
      <c r="R109" s="204" t="e">
        <f t="shared" si="30"/>
        <v>#DIV/0!</v>
      </c>
      <c r="S109" s="204" t="e">
        <f t="shared" si="31"/>
        <v>#DIV/0!</v>
      </c>
      <c r="T109" s="204" t="e">
        <f t="shared" si="32"/>
        <v>#DIV/0!</v>
      </c>
      <c r="U109" s="105" t="e">
        <f t="shared" si="33"/>
        <v>#NUM!</v>
      </c>
      <c r="V109" s="187" t="e">
        <f t="shared" si="34"/>
        <v>#NUM!</v>
      </c>
      <c r="W109" s="204" t="e">
        <f t="shared" si="35"/>
        <v>#DIV/0!</v>
      </c>
      <c r="X109" s="204" t="e">
        <f t="shared" si="36"/>
        <v>#DIV/0!</v>
      </c>
      <c r="Y109" s="204" t="e">
        <f t="shared" si="37"/>
        <v>#DIV/0!</v>
      </c>
    </row>
    <row r="110" spans="1:25" x14ac:dyDescent="0.2">
      <c r="A110" s="201">
        <v>0</v>
      </c>
      <c r="B110" s="14">
        <f t="shared" si="41"/>
        <v>0</v>
      </c>
      <c r="C110" s="14" t="e">
        <f t="shared" si="23"/>
        <v>#NUM!</v>
      </c>
      <c r="D110" s="202" t="e">
        <f t="shared" si="21"/>
        <v>#NUM!</v>
      </c>
      <c r="E110" s="203" t="e">
        <f t="shared" si="38"/>
        <v>#DIV/0!</v>
      </c>
      <c r="F110" s="201" t="e">
        <f t="shared" si="24"/>
        <v>#DIV/0!</v>
      </c>
      <c r="G110" s="201"/>
      <c r="H110" s="207">
        <f t="shared" si="25"/>
        <v>0</v>
      </c>
      <c r="I110" s="201" t="e">
        <f t="shared" si="22"/>
        <v>#NUM!</v>
      </c>
      <c r="J110" s="204" t="e">
        <f t="shared" si="26"/>
        <v>#DIV/0!</v>
      </c>
      <c r="K110" s="204" t="e">
        <f t="shared" si="27"/>
        <v>#DIV/0!</v>
      </c>
      <c r="L110" s="204" t="e">
        <f t="shared" si="28"/>
        <v>#DIV/0!</v>
      </c>
      <c r="M110" s="277" t="e">
        <f t="shared" si="39"/>
        <v>#NUM!</v>
      </c>
      <c r="N110" s="201"/>
      <c r="O110" s="205" t="e">
        <f t="shared" si="40"/>
        <v>#DIV/0!</v>
      </c>
      <c r="Q110" s="201" t="e">
        <f t="shared" si="29"/>
        <v>#DIV/0!</v>
      </c>
      <c r="R110" s="204" t="e">
        <f t="shared" si="30"/>
        <v>#DIV/0!</v>
      </c>
      <c r="S110" s="204" t="e">
        <f t="shared" si="31"/>
        <v>#DIV/0!</v>
      </c>
      <c r="T110" s="204" t="e">
        <f t="shared" si="32"/>
        <v>#DIV/0!</v>
      </c>
      <c r="U110" s="105" t="e">
        <f t="shared" si="33"/>
        <v>#NUM!</v>
      </c>
      <c r="V110" s="187" t="e">
        <f t="shared" si="34"/>
        <v>#NUM!</v>
      </c>
      <c r="W110" s="204" t="e">
        <f t="shared" si="35"/>
        <v>#DIV/0!</v>
      </c>
      <c r="X110" s="204" t="e">
        <f t="shared" si="36"/>
        <v>#DIV/0!</v>
      </c>
      <c r="Y110" s="204" t="e">
        <f t="shared" si="37"/>
        <v>#DIV/0!</v>
      </c>
    </row>
    <row r="111" spans="1:25" x14ac:dyDescent="0.2">
      <c r="A111" s="201">
        <v>0</v>
      </c>
      <c r="B111" s="14">
        <f t="shared" si="41"/>
        <v>0</v>
      </c>
      <c r="C111" s="14" t="e">
        <f t="shared" si="23"/>
        <v>#NUM!</v>
      </c>
      <c r="D111" s="202" t="e">
        <f t="shared" si="21"/>
        <v>#NUM!</v>
      </c>
      <c r="E111" s="203" t="e">
        <f t="shared" si="38"/>
        <v>#DIV/0!</v>
      </c>
      <c r="F111" s="201" t="e">
        <f t="shared" si="24"/>
        <v>#DIV/0!</v>
      </c>
      <c r="G111" s="201"/>
      <c r="H111" s="207">
        <f t="shared" si="25"/>
        <v>0</v>
      </c>
      <c r="I111" s="201" t="e">
        <f t="shared" si="22"/>
        <v>#NUM!</v>
      </c>
      <c r="J111" s="204" t="e">
        <f t="shared" si="26"/>
        <v>#DIV/0!</v>
      </c>
      <c r="K111" s="204" t="e">
        <f t="shared" si="27"/>
        <v>#DIV/0!</v>
      </c>
      <c r="L111" s="204" t="e">
        <f t="shared" si="28"/>
        <v>#DIV/0!</v>
      </c>
      <c r="M111" s="277" t="e">
        <f t="shared" si="39"/>
        <v>#NUM!</v>
      </c>
      <c r="N111" s="201"/>
      <c r="O111" s="205" t="e">
        <f t="shared" si="40"/>
        <v>#DIV/0!</v>
      </c>
      <c r="Q111" s="201" t="e">
        <f t="shared" si="29"/>
        <v>#DIV/0!</v>
      </c>
      <c r="R111" s="204" t="e">
        <f t="shared" si="30"/>
        <v>#DIV/0!</v>
      </c>
      <c r="S111" s="204" t="e">
        <f t="shared" si="31"/>
        <v>#DIV/0!</v>
      </c>
      <c r="T111" s="204" t="e">
        <f t="shared" si="32"/>
        <v>#DIV/0!</v>
      </c>
      <c r="U111" s="105" t="e">
        <f t="shared" si="33"/>
        <v>#NUM!</v>
      </c>
      <c r="V111" s="187" t="e">
        <f t="shared" si="34"/>
        <v>#NUM!</v>
      </c>
      <c r="W111" s="204" t="e">
        <f t="shared" si="35"/>
        <v>#DIV/0!</v>
      </c>
      <c r="X111" s="204" t="e">
        <f t="shared" si="36"/>
        <v>#DIV/0!</v>
      </c>
      <c r="Y111" s="204" t="e">
        <f t="shared" si="37"/>
        <v>#DIV/0!</v>
      </c>
    </row>
    <row r="112" spans="1:25" x14ac:dyDescent="0.2">
      <c r="A112" s="201">
        <v>0</v>
      </c>
      <c r="B112" s="14">
        <f t="shared" si="41"/>
        <v>0</v>
      </c>
      <c r="C112" s="14" t="e">
        <f t="shared" si="23"/>
        <v>#NUM!</v>
      </c>
      <c r="D112" s="202" t="e">
        <f t="shared" si="21"/>
        <v>#NUM!</v>
      </c>
      <c r="E112" s="203" t="e">
        <f t="shared" si="38"/>
        <v>#DIV/0!</v>
      </c>
      <c r="F112" s="201" t="e">
        <f t="shared" si="24"/>
        <v>#DIV/0!</v>
      </c>
      <c r="G112" s="201"/>
      <c r="H112" s="207">
        <f t="shared" si="25"/>
        <v>0</v>
      </c>
      <c r="I112" s="201" t="e">
        <f t="shared" si="22"/>
        <v>#NUM!</v>
      </c>
      <c r="J112" s="204" t="e">
        <f t="shared" si="26"/>
        <v>#DIV/0!</v>
      </c>
      <c r="K112" s="204" t="e">
        <f t="shared" si="27"/>
        <v>#DIV/0!</v>
      </c>
      <c r="L112" s="204" t="e">
        <f t="shared" si="28"/>
        <v>#DIV/0!</v>
      </c>
      <c r="M112" s="277" t="e">
        <f t="shared" si="39"/>
        <v>#NUM!</v>
      </c>
      <c r="N112" s="201"/>
      <c r="O112" s="205" t="e">
        <f t="shared" si="40"/>
        <v>#DIV/0!</v>
      </c>
      <c r="Q112" s="201" t="e">
        <f t="shared" si="29"/>
        <v>#DIV/0!</v>
      </c>
      <c r="R112" s="204" t="e">
        <f t="shared" si="30"/>
        <v>#DIV/0!</v>
      </c>
      <c r="S112" s="204" t="e">
        <f t="shared" si="31"/>
        <v>#DIV/0!</v>
      </c>
      <c r="T112" s="204" t="e">
        <f t="shared" si="32"/>
        <v>#DIV/0!</v>
      </c>
      <c r="U112" s="105" t="e">
        <f t="shared" si="33"/>
        <v>#NUM!</v>
      </c>
      <c r="V112" s="187" t="e">
        <f t="shared" si="34"/>
        <v>#NUM!</v>
      </c>
      <c r="W112" s="204" t="e">
        <f t="shared" si="35"/>
        <v>#DIV/0!</v>
      </c>
      <c r="X112" s="204" t="e">
        <f t="shared" si="36"/>
        <v>#DIV/0!</v>
      </c>
      <c r="Y112" s="204" t="e">
        <f t="shared" si="37"/>
        <v>#DIV/0!</v>
      </c>
    </row>
    <row r="113" spans="1:25" x14ac:dyDescent="0.2">
      <c r="A113" s="201">
        <v>0</v>
      </c>
      <c r="B113" s="14">
        <f t="shared" si="41"/>
        <v>0</v>
      </c>
      <c r="C113" s="14" t="e">
        <f t="shared" si="23"/>
        <v>#NUM!</v>
      </c>
      <c r="D113" s="202" t="e">
        <f t="shared" si="21"/>
        <v>#NUM!</v>
      </c>
      <c r="E113" s="203" t="e">
        <f t="shared" si="38"/>
        <v>#DIV/0!</v>
      </c>
      <c r="F113" s="201" t="e">
        <f t="shared" si="24"/>
        <v>#DIV/0!</v>
      </c>
      <c r="G113" s="201"/>
      <c r="H113" s="207">
        <f t="shared" si="25"/>
        <v>0</v>
      </c>
      <c r="I113" s="201" t="e">
        <f t="shared" si="22"/>
        <v>#NUM!</v>
      </c>
      <c r="J113" s="204" t="e">
        <f t="shared" si="26"/>
        <v>#DIV/0!</v>
      </c>
      <c r="K113" s="204" t="e">
        <f t="shared" si="27"/>
        <v>#DIV/0!</v>
      </c>
      <c r="L113" s="204" t="e">
        <f t="shared" si="28"/>
        <v>#DIV/0!</v>
      </c>
      <c r="M113" s="277" t="e">
        <f t="shared" si="39"/>
        <v>#NUM!</v>
      </c>
      <c r="N113" s="201"/>
      <c r="O113" s="205" t="e">
        <f t="shared" si="40"/>
        <v>#DIV/0!</v>
      </c>
      <c r="Q113" s="201" t="e">
        <f t="shared" si="29"/>
        <v>#DIV/0!</v>
      </c>
      <c r="R113" s="204" t="e">
        <f t="shared" si="30"/>
        <v>#DIV/0!</v>
      </c>
      <c r="S113" s="204" t="e">
        <f t="shared" si="31"/>
        <v>#DIV/0!</v>
      </c>
      <c r="T113" s="204" t="e">
        <f t="shared" si="32"/>
        <v>#DIV/0!</v>
      </c>
      <c r="U113" s="105" t="e">
        <f t="shared" si="33"/>
        <v>#NUM!</v>
      </c>
      <c r="V113" s="187" t="e">
        <f t="shared" si="34"/>
        <v>#NUM!</v>
      </c>
      <c r="W113" s="204" t="e">
        <f t="shared" si="35"/>
        <v>#DIV/0!</v>
      </c>
      <c r="X113" s="204" t="e">
        <f t="shared" si="36"/>
        <v>#DIV/0!</v>
      </c>
      <c r="Y113" s="204" t="e">
        <f t="shared" si="37"/>
        <v>#DIV/0!</v>
      </c>
    </row>
    <row r="114" spans="1:25" x14ac:dyDescent="0.2">
      <c r="A114" s="201">
        <v>0</v>
      </c>
      <c r="B114" s="14">
        <f t="shared" si="41"/>
        <v>0</v>
      </c>
      <c r="C114" s="14" t="e">
        <f t="shared" si="23"/>
        <v>#NUM!</v>
      </c>
      <c r="D114" s="202" t="e">
        <f t="shared" si="21"/>
        <v>#NUM!</v>
      </c>
      <c r="E114" s="203" t="e">
        <f t="shared" si="38"/>
        <v>#DIV/0!</v>
      </c>
      <c r="F114" s="201" t="e">
        <f t="shared" si="24"/>
        <v>#DIV/0!</v>
      </c>
      <c r="G114" s="201"/>
      <c r="H114" s="207">
        <f t="shared" si="25"/>
        <v>0</v>
      </c>
      <c r="I114" s="201" t="e">
        <f t="shared" si="22"/>
        <v>#NUM!</v>
      </c>
      <c r="J114" s="204" t="e">
        <f t="shared" si="26"/>
        <v>#DIV/0!</v>
      </c>
      <c r="K114" s="204" t="e">
        <f t="shared" si="27"/>
        <v>#DIV/0!</v>
      </c>
      <c r="L114" s="204" t="e">
        <f t="shared" si="28"/>
        <v>#DIV/0!</v>
      </c>
      <c r="M114" s="277" t="e">
        <f t="shared" si="39"/>
        <v>#NUM!</v>
      </c>
      <c r="N114" s="201"/>
      <c r="O114" s="205" t="e">
        <f t="shared" si="40"/>
        <v>#DIV/0!</v>
      </c>
      <c r="Q114" s="201" t="e">
        <f t="shared" si="29"/>
        <v>#DIV/0!</v>
      </c>
      <c r="R114" s="204" t="e">
        <f t="shared" si="30"/>
        <v>#DIV/0!</v>
      </c>
      <c r="S114" s="204" t="e">
        <f t="shared" si="31"/>
        <v>#DIV/0!</v>
      </c>
      <c r="T114" s="204" t="e">
        <f t="shared" si="32"/>
        <v>#DIV/0!</v>
      </c>
      <c r="U114" s="105" t="e">
        <f t="shared" si="33"/>
        <v>#NUM!</v>
      </c>
      <c r="V114" s="187" t="e">
        <f t="shared" si="34"/>
        <v>#NUM!</v>
      </c>
      <c r="W114" s="204" t="e">
        <f t="shared" si="35"/>
        <v>#DIV/0!</v>
      </c>
      <c r="X114" s="204" t="e">
        <f t="shared" si="36"/>
        <v>#DIV/0!</v>
      </c>
      <c r="Y114" s="204" t="e">
        <f t="shared" si="37"/>
        <v>#DIV/0!</v>
      </c>
    </row>
    <row r="115" spans="1:25" x14ac:dyDescent="0.2">
      <c r="A115" s="201">
        <v>0</v>
      </c>
      <c r="B115" s="14">
        <f t="shared" si="41"/>
        <v>0</v>
      </c>
      <c r="C115" s="14" t="e">
        <f t="shared" si="23"/>
        <v>#NUM!</v>
      </c>
      <c r="D115" s="202" t="e">
        <f t="shared" ref="D115:D178" si="42">(C114+C115)/2</f>
        <v>#NUM!</v>
      </c>
      <c r="E115" s="203" t="e">
        <f t="shared" si="38"/>
        <v>#DIV/0!</v>
      </c>
      <c r="F115" s="201" t="e">
        <f t="shared" si="24"/>
        <v>#DIV/0!</v>
      </c>
      <c r="G115" s="201"/>
      <c r="H115" s="207">
        <f t="shared" si="25"/>
        <v>0</v>
      </c>
      <c r="I115" s="201" t="e">
        <f t="shared" si="22"/>
        <v>#NUM!</v>
      </c>
      <c r="J115" s="204" t="e">
        <f t="shared" si="26"/>
        <v>#DIV/0!</v>
      </c>
      <c r="K115" s="204" t="e">
        <f t="shared" si="27"/>
        <v>#DIV/0!</v>
      </c>
      <c r="L115" s="204" t="e">
        <f t="shared" si="28"/>
        <v>#DIV/0!</v>
      </c>
      <c r="M115" s="277" t="e">
        <f t="shared" si="39"/>
        <v>#NUM!</v>
      </c>
      <c r="N115" s="201"/>
      <c r="O115" s="205" t="e">
        <f t="shared" si="40"/>
        <v>#DIV/0!</v>
      </c>
      <c r="Q115" s="201" t="e">
        <f t="shared" si="29"/>
        <v>#DIV/0!</v>
      </c>
      <c r="R115" s="204" t="e">
        <f t="shared" si="30"/>
        <v>#DIV/0!</v>
      </c>
      <c r="S115" s="204" t="e">
        <f t="shared" si="31"/>
        <v>#DIV/0!</v>
      </c>
      <c r="T115" s="204" t="e">
        <f t="shared" si="32"/>
        <v>#DIV/0!</v>
      </c>
      <c r="U115" s="105" t="e">
        <f t="shared" si="33"/>
        <v>#NUM!</v>
      </c>
      <c r="V115" s="187" t="e">
        <f t="shared" si="34"/>
        <v>#NUM!</v>
      </c>
      <c r="W115" s="204" t="e">
        <f t="shared" si="35"/>
        <v>#DIV/0!</v>
      </c>
      <c r="X115" s="204" t="e">
        <f t="shared" si="36"/>
        <v>#DIV/0!</v>
      </c>
      <c r="Y115" s="204" t="e">
        <f t="shared" si="37"/>
        <v>#DIV/0!</v>
      </c>
    </row>
    <row r="116" spans="1:25" x14ac:dyDescent="0.2">
      <c r="A116" s="201">
        <v>0</v>
      </c>
      <c r="B116" s="14">
        <f t="shared" si="41"/>
        <v>0</v>
      </c>
      <c r="C116" s="14" t="e">
        <f t="shared" si="23"/>
        <v>#NUM!</v>
      </c>
      <c r="D116" s="202" t="e">
        <f t="shared" si="42"/>
        <v>#NUM!</v>
      </c>
      <c r="E116" s="203" t="e">
        <f t="shared" si="38"/>
        <v>#DIV/0!</v>
      </c>
      <c r="F116" s="201" t="e">
        <f t="shared" si="24"/>
        <v>#DIV/0!</v>
      </c>
      <c r="G116" s="201"/>
      <c r="H116" s="207">
        <f t="shared" si="25"/>
        <v>0</v>
      </c>
      <c r="I116" s="201" t="e">
        <f t="shared" si="22"/>
        <v>#NUM!</v>
      </c>
      <c r="J116" s="204" t="e">
        <f t="shared" si="26"/>
        <v>#DIV/0!</v>
      </c>
      <c r="K116" s="204" t="e">
        <f t="shared" si="27"/>
        <v>#DIV/0!</v>
      </c>
      <c r="L116" s="204" t="e">
        <f t="shared" si="28"/>
        <v>#DIV/0!</v>
      </c>
      <c r="M116" s="277" t="e">
        <f t="shared" si="39"/>
        <v>#NUM!</v>
      </c>
      <c r="N116" s="201"/>
      <c r="O116" s="205" t="e">
        <f t="shared" si="40"/>
        <v>#DIV/0!</v>
      </c>
      <c r="Q116" s="201" t="e">
        <f t="shared" si="29"/>
        <v>#DIV/0!</v>
      </c>
      <c r="R116" s="204" t="e">
        <f t="shared" si="30"/>
        <v>#DIV/0!</v>
      </c>
      <c r="S116" s="204" t="e">
        <f t="shared" si="31"/>
        <v>#DIV/0!</v>
      </c>
      <c r="T116" s="204" t="e">
        <f t="shared" si="32"/>
        <v>#DIV/0!</v>
      </c>
      <c r="U116" s="105" t="e">
        <f t="shared" si="33"/>
        <v>#NUM!</v>
      </c>
      <c r="V116" s="187" t="e">
        <f t="shared" si="34"/>
        <v>#NUM!</v>
      </c>
      <c r="W116" s="204" t="e">
        <f t="shared" si="35"/>
        <v>#DIV/0!</v>
      </c>
      <c r="X116" s="204" t="e">
        <f t="shared" si="36"/>
        <v>#DIV/0!</v>
      </c>
      <c r="Y116" s="204" t="e">
        <f t="shared" si="37"/>
        <v>#DIV/0!</v>
      </c>
    </row>
    <row r="117" spans="1:25" x14ac:dyDescent="0.2">
      <c r="A117" s="201">
        <v>0</v>
      </c>
      <c r="B117" s="14">
        <f t="shared" si="41"/>
        <v>0</v>
      </c>
      <c r="C117" s="14" t="e">
        <f t="shared" si="23"/>
        <v>#NUM!</v>
      </c>
      <c r="D117" s="202" t="e">
        <f t="shared" si="42"/>
        <v>#NUM!</v>
      </c>
      <c r="E117" s="203" t="e">
        <f t="shared" si="38"/>
        <v>#DIV/0!</v>
      </c>
      <c r="F117" s="201" t="e">
        <f t="shared" si="24"/>
        <v>#DIV/0!</v>
      </c>
      <c r="G117" s="201"/>
      <c r="H117" s="207">
        <f t="shared" si="25"/>
        <v>0</v>
      </c>
      <c r="I117" s="201" t="e">
        <f t="shared" si="22"/>
        <v>#NUM!</v>
      </c>
      <c r="J117" s="204" t="e">
        <f t="shared" si="26"/>
        <v>#DIV/0!</v>
      </c>
      <c r="K117" s="204" t="e">
        <f t="shared" si="27"/>
        <v>#DIV/0!</v>
      </c>
      <c r="L117" s="204" t="e">
        <f t="shared" si="28"/>
        <v>#DIV/0!</v>
      </c>
      <c r="M117" s="277" t="e">
        <f t="shared" si="39"/>
        <v>#NUM!</v>
      </c>
      <c r="N117" s="201"/>
      <c r="O117" s="205" t="e">
        <f t="shared" si="40"/>
        <v>#DIV/0!</v>
      </c>
      <c r="Q117" s="201" t="e">
        <f t="shared" si="29"/>
        <v>#DIV/0!</v>
      </c>
      <c r="R117" s="204" t="e">
        <f t="shared" si="30"/>
        <v>#DIV/0!</v>
      </c>
      <c r="S117" s="204" t="e">
        <f t="shared" si="31"/>
        <v>#DIV/0!</v>
      </c>
      <c r="T117" s="204" t="e">
        <f t="shared" si="32"/>
        <v>#DIV/0!</v>
      </c>
      <c r="U117" s="105" t="e">
        <f t="shared" si="33"/>
        <v>#NUM!</v>
      </c>
      <c r="V117" s="187" t="e">
        <f t="shared" si="34"/>
        <v>#NUM!</v>
      </c>
      <c r="W117" s="204" t="e">
        <f t="shared" si="35"/>
        <v>#DIV/0!</v>
      </c>
      <c r="X117" s="204" t="e">
        <f t="shared" si="36"/>
        <v>#DIV/0!</v>
      </c>
      <c r="Y117" s="204" t="e">
        <f t="shared" si="37"/>
        <v>#DIV/0!</v>
      </c>
    </row>
    <row r="118" spans="1:25" x14ac:dyDescent="0.2">
      <c r="A118" s="201">
        <v>0</v>
      </c>
      <c r="B118" s="14">
        <f t="shared" si="41"/>
        <v>0</v>
      </c>
      <c r="C118" s="14" t="e">
        <f t="shared" si="23"/>
        <v>#NUM!</v>
      </c>
      <c r="D118" s="202" t="e">
        <f t="shared" si="42"/>
        <v>#NUM!</v>
      </c>
      <c r="E118" s="203" t="e">
        <f t="shared" si="38"/>
        <v>#DIV/0!</v>
      </c>
      <c r="F118" s="201" t="e">
        <f t="shared" si="24"/>
        <v>#DIV/0!</v>
      </c>
      <c r="G118" s="201"/>
      <c r="H118" s="207">
        <f t="shared" si="25"/>
        <v>0</v>
      </c>
      <c r="I118" s="201" t="e">
        <f t="shared" si="22"/>
        <v>#NUM!</v>
      </c>
      <c r="J118" s="204" t="e">
        <f t="shared" si="26"/>
        <v>#DIV/0!</v>
      </c>
      <c r="K118" s="204" t="e">
        <f t="shared" si="27"/>
        <v>#DIV/0!</v>
      </c>
      <c r="L118" s="204" t="e">
        <f t="shared" si="28"/>
        <v>#DIV/0!</v>
      </c>
      <c r="M118" s="277" t="e">
        <f t="shared" si="39"/>
        <v>#NUM!</v>
      </c>
      <c r="N118" s="201"/>
      <c r="O118" s="205" t="e">
        <f t="shared" si="40"/>
        <v>#DIV/0!</v>
      </c>
      <c r="Q118" s="201" t="e">
        <f t="shared" si="29"/>
        <v>#DIV/0!</v>
      </c>
      <c r="R118" s="204" t="e">
        <f t="shared" si="30"/>
        <v>#DIV/0!</v>
      </c>
      <c r="S118" s="204" t="e">
        <f t="shared" si="31"/>
        <v>#DIV/0!</v>
      </c>
      <c r="T118" s="204" t="e">
        <f t="shared" si="32"/>
        <v>#DIV/0!</v>
      </c>
      <c r="U118" s="105" t="e">
        <f t="shared" si="33"/>
        <v>#NUM!</v>
      </c>
      <c r="V118" s="187" t="e">
        <f t="shared" si="34"/>
        <v>#NUM!</v>
      </c>
      <c r="W118" s="204" t="e">
        <f t="shared" si="35"/>
        <v>#DIV/0!</v>
      </c>
      <c r="X118" s="204" t="e">
        <f t="shared" si="36"/>
        <v>#DIV/0!</v>
      </c>
      <c r="Y118" s="204" t="e">
        <f t="shared" si="37"/>
        <v>#DIV/0!</v>
      </c>
    </row>
    <row r="119" spans="1:25" x14ac:dyDescent="0.2">
      <c r="A119" s="201">
        <v>0</v>
      </c>
      <c r="B119" s="14">
        <f t="shared" si="41"/>
        <v>0</v>
      </c>
      <c r="C119" s="14" t="e">
        <f t="shared" si="23"/>
        <v>#NUM!</v>
      </c>
      <c r="D119" s="202" t="e">
        <f t="shared" si="42"/>
        <v>#NUM!</v>
      </c>
      <c r="E119" s="203" t="e">
        <f t="shared" si="38"/>
        <v>#DIV/0!</v>
      </c>
      <c r="F119" s="201" t="e">
        <f t="shared" si="24"/>
        <v>#DIV/0!</v>
      </c>
      <c r="G119" s="201"/>
      <c r="H119" s="207">
        <f t="shared" si="25"/>
        <v>0</v>
      </c>
      <c r="I119" s="201" t="e">
        <f t="shared" si="22"/>
        <v>#NUM!</v>
      </c>
      <c r="J119" s="204" t="e">
        <f t="shared" si="26"/>
        <v>#DIV/0!</v>
      </c>
      <c r="K119" s="204" t="e">
        <f t="shared" si="27"/>
        <v>#DIV/0!</v>
      </c>
      <c r="L119" s="204" t="e">
        <f t="shared" si="28"/>
        <v>#DIV/0!</v>
      </c>
      <c r="M119" s="277" t="e">
        <f t="shared" si="39"/>
        <v>#NUM!</v>
      </c>
      <c r="N119" s="201"/>
      <c r="O119" s="205" t="e">
        <f t="shared" si="40"/>
        <v>#DIV/0!</v>
      </c>
      <c r="Q119" s="201" t="e">
        <f t="shared" si="29"/>
        <v>#DIV/0!</v>
      </c>
      <c r="R119" s="204" t="e">
        <f t="shared" si="30"/>
        <v>#DIV/0!</v>
      </c>
      <c r="S119" s="204" t="e">
        <f t="shared" si="31"/>
        <v>#DIV/0!</v>
      </c>
      <c r="T119" s="204" t="e">
        <f t="shared" si="32"/>
        <v>#DIV/0!</v>
      </c>
      <c r="U119" s="105" t="e">
        <f t="shared" si="33"/>
        <v>#NUM!</v>
      </c>
      <c r="V119" s="187" t="e">
        <f t="shared" si="34"/>
        <v>#NUM!</v>
      </c>
      <c r="W119" s="204" t="e">
        <f t="shared" si="35"/>
        <v>#DIV/0!</v>
      </c>
      <c r="X119" s="204" t="e">
        <f t="shared" si="36"/>
        <v>#DIV/0!</v>
      </c>
      <c r="Y119" s="204" t="e">
        <f t="shared" si="37"/>
        <v>#DIV/0!</v>
      </c>
    </row>
    <row r="120" spans="1:25" x14ac:dyDescent="0.2">
      <c r="A120" s="201">
        <v>0</v>
      </c>
      <c r="B120" s="14">
        <f t="shared" si="41"/>
        <v>0</v>
      </c>
      <c r="C120" s="14" t="e">
        <f t="shared" si="23"/>
        <v>#NUM!</v>
      </c>
      <c r="D120" s="202" t="e">
        <f t="shared" si="42"/>
        <v>#NUM!</v>
      </c>
      <c r="E120" s="203" t="e">
        <f t="shared" si="38"/>
        <v>#DIV/0!</v>
      </c>
      <c r="F120" s="201" t="e">
        <f t="shared" si="24"/>
        <v>#DIV/0!</v>
      </c>
      <c r="G120" s="201"/>
      <c r="H120" s="207">
        <f t="shared" si="25"/>
        <v>0</v>
      </c>
      <c r="I120" s="201" t="e">
        <f t="shared" si="22"/>
        <v>#NUM!</v>
      </c>
      <c r="J120" s="204" t="e">
        <f t="shared" si="26"/>
        <v>#DIV/0!</v>
      </c>
      <c r="K120" s="204" t="e">
        <f t="shared" si="27"/>
        <v>#DIV/0!</v>
      </c>
      <c r="L120" s="204" t="e">
        <f t="shared" si="28"/>
        <v>#DIV/0!</v>
      </c>
      <c r="M120" s="277" t="e">
        <f t="shared" si="39"/>
        <v>#NUM!</v>
      </c>
      <c r="N120" s="201"/>
      <c r="O120" s="205" t="e">
        <f t="shared" si="40"/>
        <v>#DIV/0!</v>
      </c>
      <c r="Q120" s="201" t="e">
        <f t="shared" si="29"/>
        <v>#DIV/0!</v>
      </c>
      <c r="R120" s="204" t="e">
        <f t="shared" si="30"/>
        <v>#DIV/0!</v>
      </c>
      <c r="S120" s="204" t="e">
        <f t="shared" si="31"/>
        <v>#DIV/0!</v>
      </c>
      <c r="T120" s="204" t="e">
        <f t="shared" si="32"/>
        <v>#DIV/0!</v>
      </c>
      <c r="U120" s="105" t="e">
        <f t="shared" si="33"/>
        <v>#NUM!</v>
      </c>
      <c r="V120" s="187" t="e">
        <f t="shared" si="34"/>
        <v>#NUM!</v>
      </c>
      <c r="W120" s="204" t="e">
        <f t="shared" si="35"/>
        <v>#DIV/0!</v>
      </c>
      <c r="X120" s="204" t="e">
        <f t="shared" si="36"/>
        <v>#DIV/0!</v>
      </c>
      <c r="Y120" s="204" t="e">
        <f t="shared" si="37"/>
        <v>#DIV/0!</v>
      </c>
    </row>
    <row r="121" spans="1:25" x14ac:dyDescent="0.2">
      <c r="A121" s="201">
        <v>0</v>
      </c>
      <c r="B121" s="14">
        <f t="shared" si="41"/>
        <v>0</v>
      </c>
      <c r="C121" s="14" t="e">
        <f t="shared" si="23"/>
        <v>#NUM!</v>
      </c>
      <c r="D121" s="202" t="e">
        <f t="shared" si="42"/>
        <v>#NUM!</v>
      </c>
      <c r="E121" s="203" t="e">
        <f t="shared" si="38"/>
        <v>#DIV/0!</v>
      </c>
      <c r="F121" s="201" t="e">
        <f t="shared" si="24"/>
        <v>#DIV/0!</v>
      </c>
      <c r="G121" s="201"/>
      <c r="H121" s="207">
        <f t="shared" si="25"/>
        <v>0</v>
      </c>
      <c r="I121" s="201" t="e">
        <f t="shared" si="22"/>
        <v>#NUM!</v>
      </c>
      <c r="J121" s="204" t="e">
        <f t="shared" si="26"/>
        <v>#DIV/0!</v>
      </c>
      <c r="K121" s="204" t="e">
        <f t="shared" si="27"/>
        <v>#DIV/0!</v>
      </c>
      <c r="L121" s="204" t="e">
        <f t="shared" si="28"/>
        <v>#DIV/0!</v>
      </c>
      <c r="M121" s="277" t="e">
        <f t="shared" si="39"/>
        <v>#NUM!</v>
      </c>
      <c r="N121" s="201"/>
      <c r="O121" s="205" t="e">
        <f t="shared" si="40"/>
        <v>#DIV/0!</v>
      </c>
      <c r="Q121" s="201" t="e">
        <f t="shared" si="29"/>
        <v>#DIV/0!</v>
      </c>
      <c r="R121" s="204" t="e">
        <f t="shared" si="30"/>
        <v>#DIV/0!</v>
      </c>
      <c r="S121" s="204" t="e">
        <f t="shared" si="31"/>
        <v>#DIV/0!</v>
      </c>
      <c r="T121" s="204" t="e">
        <f t="shared" si="32"/>
        <v>#DIV/0!</v>
      </c>
      <c r="U121" s="105" t="e">
        <f t="shared" si="33"/>
        <v>#NUM!</v>
      </c>
      <c r="V121" s="187" t="e">
        <f t="shared" si="34"/>
        <v>#NUM!</v>
      </c>
      <c r="W121" s="204" t="e">
        <f t="shared" si="35"/>
        <v>#DIV/0!</v>
      </c>
      <c r="X121" s="204" t="e">
        <f t="shared" si="36"/>
        <v>#DIV/0!</v>
      </c>
      <c r="Y121" s="204" t="e">
        <f t="shared" si="37"/>
        <v>#DIV/0!</v>
      </c>
    </row>
    <row r="122" spans="1:25" x14ac:dyDescent="0.2">
      <c r="A122" s="201">
        <v>0</v>
      </c>
      <c r="B122" s="14">
        <f t="shared" si="41"/>
        <v>0</v>
      </c>
      <c r="C122" s="14" t="e">
        <f t="shared" si="23"/>
        <v>#NUM!</v>
      </c>
      <c r="D122" s="202" t="e">
        <f t="shared" si="42"/>
        <v>#NUM!</v>
      </c>
      <c r="E122" s="203" t="e">
        <f t="shared" si="38"/>
        <v>#DIV/0!</v>
      </c>
      <c r="F122" s="201" t="e">
        <f t="shared" si="24"/>
        <v>#DIV/0!</v>
      </c>
      <c r="G122" s="201"/>
      <c r="H122" s="207">
        <f t="shared" si="25"/>
        <v>0</v>
      </c>
      <c r="I122" s="201" t="e">
        <f t="shared" si="22"/>
        <v>#NUM!</v>
      </c>
      <c r="J122" s="204" t="e">
        <f t="shared" si="26"/>
        <v>#DIV/0!</v>
      </c>
      <c r="K122" s="204" t="e">
        <f t="shared" si="27"/>
        <v>#DIV/0!</v>
      </c>
      <c r="L122" s="204" t="e">
        <f t="shared" si="28"/>
        <v>#DIV/0!</v>
      </c>
      <c r="M122" s="277" t="e">
        <f t="shared" si="39"/>
        <v>#NUM!</v>
      </c>
      <c r="N122" s="201"/>
      <c r="O122" s="205" t="e">
        <f t="shared" si="40"/>
        <v>#DIV/0!</v>
      </c>
      <c r="Q122" s="201" t="e">
        <f t="shared" si="29"/>
        <v>#DIV/0!</v>
      </c>
      <c r="R122" s="204" t="e">
        <f t="shared" si="30"/>
        <v>#DIV/0!</v>
      </c>
      <c r="S122" s="204" t="e">
        <f t="shared" si="31"/>
        <v>#DIV/0!</v>
      </c>
      <c r="T122" s="204" t="e">
        <f t="shared" si="32"/>
        <v>#DIV/0!</v>
      </c>
      <c r="U122" s="105" t="e">
        <f t="shared" si="33"/>
        <v>#NUM!</v>
      </c>
      <c r="V122" s="187" t="e">
        <f t="shared" si="34"/>
        <v>#NUM!</v>
      </c>
      <c r="W122" s="204" t="e">
        <f t="shared" si="35"/>
        <v>#DIV/0!</v>
      </c>
      <c r="X122" s="204" t="e">
        <f t="shared" si="36"/>
        <v>#DIV/0!</v>
      </c>
      <c r="Y122" s="204" t="e">
        <f t="shared" si="37"/>
        <v>#DIV/0!</v>
      </c>
    </row>
    <row r="123" spans="1:25" x14ac:dyDescent="0.2">
      <c r="A123" s="201">
        <v>0</v>
      </c>
      <c r="B123" s="14">
        <f t="shared" si="41"/>
        <v>0</v>
      </c>
      <c r="C123" s="14" t="e">
        <f t="shared" si="23"/>
        <v>#NUM!</v>
      </c>
      <c r="D123" s="202" t="e">
        <f t="shared" si="42"/>
        <v>#NUM!</v>
      </c>
      <c r="E123" s="203" t="e">
        <f t="shared" si="38"/>
        <v>#DIV/0!</v>
      </c>
      <c r="F123" s="201" t="e">
        <f t="shared" si="24"/>
        <v>#DIV/0!</v>
      </c>
      <c r="G123" s="201"/>
      <c r="H123" s="207">
        <f t="shared" si="25"/>
        <v>0</v>
      </c>
      <c r="I123" s="201" t="e">
        <f t="shared" si="22"/>
        <v>#NUM!</v>
      </c>
      <c r="J123" s="204" t="e">
        <f t="shared" si="26"/>
        <v>#DIV/0!</v>
      </c>
      <c r="K123" s="204" t="e">
        <f t="shared" si="27"/>
        <v>#DIV/0!</v>
      </c>
      <c r="L123" s="204" t="e">
        <f t="shared" si="28"/>
        <v>#DIV/0!</v>
      </c>
      <c r="M123" s="277" t="e">
        <f t="shared" si="39"/>
        <v>#NUM!</v>
      </c>
      <c r="N123" s="201"/>
      <c r="O123" s="205" t="e">
        <f t="shared" si="40"/>
        <v>#DIV/0!</v>
      </c>
      <c r="Q123" s="201" t="e">
        <f t="shared" si="29"/>
        <v>#DIV/0!</v>
      </c>
      <c r="R123" s="204" t="e">
        <f t="shared" si="30"/>
        <v>#DIV/0!</v>
      </c>
      <c r="S123" s="204" t="e">
        <f t="shared" si="31"/>
        <v>#DIV/0!</v>
      </c>
      <c r="T123" s="204" t="e">
        <f t="shared" si="32"/>
        <v>#DIV/0!</v>
      </c>
      <c r="U123" s="105" t="e">
        <f t="shared" si="33"/>
        <v>#NUM!</v>
      </c>
      <c r="V123" s="187" t="e">
        <f t="shared" si="34"/>
        <v>#NUM!</v>
      </c>
      <c r="W123" s="204" t="e">
        <f t="shared" si="35"/>
        <v>#DIV/0!</v>
      </c>
      <c r="X123" s="204" t="e">
        <f t="shared" si="36"/>
        <v>#DIV/0!</v>
      </c>
      <c r="Y123" s="204" t="e">
        <f t="shared" si="37"/>
        <v>#DIV/0!</v>
      </c>
    </row>
    <row r="124" spans="1:25" x14ac:dyDescent="0.2">
      <c r="A124" s="201">
        <v>0</v>
      </c>
      <c r="B124" s="14">
        <f t="shared" si="41"/>
        <v>0</v>
      </c>
      <c r="C124" s="14" t="e">
        <f t="shared" si="23"/>
        <v>#NUM!</v>
      </c>
      <c r="D124" s="202" t="e">
        <f t="shared" si="42"/>
        <v>#NUM!</v>
      </c>
      <c r="E124" s="203" t="e">
        <f t="shared" si="38"/>
        <v>#DIV/0!</v>
      </c>
      <c r="F124" s="201" t="e">
        <f t="shared" si="24"/>
        <v>#DIV/0!</v>
      </c>
      <c r="G124" s="201"/>
      <c r="H124" s="207">
        <f t="shared" si="25"/>
        <v>0</v>
      </c>
      <c r="I124" s="201" t="e">
        <f t="shared" si="22"/>
        <v>#NUM!</v>
      </c>
      <c r="J124" s="204" t="e">
        <f t="shared" si="26"/>
        <v>#DIV/0!</v>
      </c>
      <c r="K124" s="204" t="e">
        <f t="shared" si="27"/>
        <v>#DIV/0!</v>
      </c>
      <c r="L124" s="204" t="e">
        <f t="shared" si="28"/>
        <v>#DIV/0!</v>
      </c>
      <c r="M124" s="277" t="e">
        <f t="shared" si="39"/>
        <v>#NUM!</v>
      </c>
      <c r="N124" s="201"/>
      <c r="O124" s="205" t="e">
        <f t="shared" si="40"/>
        <v>#DIV/0!</v>
      </c>
      <c r="Q124" s="201" t="e">
        <f t="shared" si="29"/>
        <v>#DIV/0!</v>
      </c>
      <c r="R124" s="204" t="e">
        <f t="shared" si="30"/>
        <v>#DIV/0!</v>
      </c>
      <c r="S124" s="204" t="e">
        <f t="shared" si="31"/>
        <v>#DIV/0!</v>
      </c>
      <c r="T124" s="204" t="e">
        <f t="shared" si="32"/>
        <v>#DIV/0!</v>
      </c>
      <c r="U124" s="105" t="e">
        <f t="shared" si="33"/>
        <v>#NUM!</v>
      </c>
      <c r="V124" s="187" t="e">
        <f t="shared" si="34"/>
        <v>#NUM!</v>
      </c>
      <c r="W124" s="204" t="e">
        <f t="shared" si="35"/>
        <v>#DIV/0!</v>
      </c>
      <c r="X124" s="204" t="e">
        <f t="shared" si="36"/>
        <v>#DIV/0!</v>
      </c>
      <c r="Y124" s="204" t="e">
        <f t="shared" si="37"/>
        <v>#DIV/0!</v>
      </c>
    </row>
    <row r="125" spans="1:25" x14ac:dyDescent="0.2">
      <c r="A125" s="201">
        <v>0</v>
      </c>
      <c r="B125" s="14">
        <f t="shared" si="41"/>
        <v>0</v>
      </c>
      <c r="C125" s="14" t="e">
        <f t="shared" si="23"/>
        <v>#NUM!</v>
      </c>
      <c r="D125" s="202" t="e">
        <f t="shared" si="42"/>
        <v>#NUM!</v>
      </c>
      <c r="E125" s="203" t="e">
        <f t="shared" si="38"/>
        <v>#DIV/0!</v>
      </c>
      <c r="F125" s="201" t="e">
        <f t="shared" si="24"/>
        <v>#DIV/0!</v>
      </c>
      <c r="G125" s="201"/>
      <c r="H125" s="207">
        <f t="shared" si="25"/>
        <v>0</v>
      </c>
      <c r="I125" s="201" t="e">
        <f t="shared" si="22"/>
        <v>#NUM!</v>
      </c>
      <c r="J125" s="204" t="e">
        <f t="shared" si="26"/>
        <v>#DIV/0!</v>
      </c>
      <c r="K125" s="204" t="e">
        <f t="shared" si="27"/>
        <v>#DIV/0!</v>
      </c>
      <c r="L125" s="204" t="e">
        <f t="shared" si="28"/>
        <v>#DIV/0!</v>
      </c>
      <c r="M125" s="277" t="e">
        <f t="shared" si="39"/>
        <v>#NUM!</v>
      </c>
      <c r="N125" s="201"/>
      <c r="O125" s="205" t="e">
        <f t="shared" si="40"/>
        <v>#DIV/0!</v>
      </c>
      <c r="Q125" s="201" t="e">
        <f t="shared" si="29"/>
        <v>#DIV/0!</v>
      </c>
      <c r="R125" s="204" t="e">
        <f t="shared" si="30"/>
        <v>#DIV/0!</v>
      </c>
      <c r="S125" s="204" t="e">
        <f t="shared" si="31"/>
        <v>#DIV/0!</v>
      </c>
      <c r="T125" s="204" t="e">
        <f t="shared" si="32"/>
        <v>#DIV/0!</v>
      </c>
      <c r="U125" s="105" t="e">
        <f t="shared" si="33"/>
        <v>#NUM!</v>
      </c>
      <c r="V125" s="187" t="e">
        <f t="shared" si="34"/>
        <v>#NUM!</v>
      </c>
      <c r="W125" s="204" t="e">
        <f t="shared" si="35"/>
        <v>#DIV/0!</v>
      </c>
      <c r="X125" s="204" t="e">
        <f t="shared" si="36"/>
        <v>#DIV/0!</v>
      </c>
      <c r="Y125" s="204" t="e">
        <f t="shared" si="37"/>
        <v>#DIV/0!</v>
      </c>
    </row>
    <row r="126" spans="1:25" x14ac:dyDescent="0.2">
      <c r="A126" s="201">
        <v>0</v>
      </c>
      <c r="B126" s="14">
        <f t="shared" si="41"/>
        <v>0</v>
      </c>
      <c r="C126" s="14" t="e">
        <f t="shared" si="23"/>
        <v>#NUM!</v>
      </c>
      <c r="D126" s="202" t="e">
        <f t="shared" si="42"/>
        <v>#NUM!</v>
      </c>
      <c r="E126" s="203" t="e">
        <f t="shared" si="38"/>
        <v>#DIV/0!</v>
      </c>
      <c r="F126" s="201" t="e">
        <f t="shared" si="24"/>
        <v>#DIV/0!</v>
      </c>
      <c r="G126" s="201"/>
      <c r="H126" s="207">
        <f t="shared" si="25"/>
        <v>0</v>
      </c>
      <c r="I126" s="201" t="e">
        <f t="shared" si="22"/>
        <v>#NUM!</v>
      </c>
      <c r="J126" s="204" t="e">
        <f t="shared" si="26"/>
        <v>#DIV/0!</v>
      </c>
      <c r="K126" s="204" t="e">
        <f t="shared" si="27"/>
        <v>#DIV/0!</v>
      </c>
      <c r="L126" s="204" t="e">
        <f t="shared" si="28"/>
        <v>#DIV/0!</v>
      </c>
      <c r="M126" s="277" t="e">
        <f t="shared" si="39"/>
        <v>#NUM!</v>
      </c>
      <c r="N126" s="201"/>
      <c r="O126" s="205" t="e">
        <f t="shared" si="40"/>
        <v>#DIV/0!</v>
      </c>
      <c r="Q126" s="201" t="e">
        <f t="shared" si="29"/>
        <v>#DIV/0!</v>
      </c>
      <c r="R126" s="204" t="e">
        <f t="shared" si="30"/>
        <v>#DIV/0!</v>
      </c>
      <c r="S126" s="204" t="e">
        <f t="shared" si="31"/>
        <v>#DIV/0!</v>
      </c>
      <c r="T126" s="204" t="e">
        <f t="shared" si="32"/>
        <v>#DIV/0!</v>
      </c>
      <c r="U126" s="105" t="e">
        <f t="shared" si="33"/>
        <v>#NUM!</v>
      </c>
      <c r="V126" s="187" t="e">
        <f t="shared" si="34"/>
        <v>#NUM!</v>
      </c>
      <c r="W126" s="204" t="e">
        <f t="shared" si="35"/>
        <v>#DIV/0!</v>
      </c>
      <c r="X126" s="204" t="e">
        <f t="shared" si="36"/>
        <v>#DIV/0!</v>
      </c>
      <c r="Y126" s="204" t="e">
        <f t="shared" si="37"/>
        <v>#DIV/0!</v>
      </c>
    </row>
    <row r="127" spans="1:25" x14ac:dyDescent="0.2">
      <c r="A127" s="201">
        <v>0</v>
      </c>
      <c r="B127" s="14">
        <f t="shared" si="41"/>
        <v>0</v>
      </c>
      <c r="C127" s="14" t="e">
        <f t="shared" si="23"/>
        <v>#NUM!</v>
      </c>
      <c r="D127" s="202" t="e">
        <f t="shared" si="42"/>
        <v>#NUM!</v>
      </c>
      <c r="E127" s="203" t="e">
        <f t="shared" si="38"/>
        <v>#DIV/0!</v>
      </c>
      <c r="F127" s="201" t="e">
        <f t="shared" si="24"/>
        <v>#DIV/0!</v>
      </c>
      <c r="G127" s="201"/>
      <c r="H127" s="207">
        <f t="shared" si="25"/>
        <v>0</v>
      </c>
      <c r="I127" s="201" t="e">
        <f t="shared" si="22"/>
        <v>#NUM!</v>
      </c>
      <c r="J127" s="204" t="e">
        <f t="shared" si="26"/>
        <v>#DIV/0!</v>
      </c>
      <c r="K127" s="204" t="e">
        <f t="shared" si="27"/>
        <v>#DIV/0!</v>
      </c>
      <c r="L127" s="204" t="e">
        <f t="shared" si="28"/>
        <v>#DIV/0!</v>
      </c>
      <c r="M127" s="277" t="e">
        <f t="shared" si="39"/>
        <v>#NUM!</v>
      </c>
      <c r="N127" s="201"/>
      <c r="O127" s="205" t="e">
        <f t="shared" si="40"/>
        <v>#DIV/0!</v>
      </c>
      <c r="Q127" s="201" t="e">
        <f t="shared" si="29"/>
        <v>#DIV/0!</v>
      </c>
      <c r="R127" s="204" t="e">
        <f t="shared" si="30"/>
        <v>#DIV/0!</v>
      </c>
      <c r="S127" s="204" t="e">
        <f t="shared" si="31"/>
        <v>#DIV/0!</v>
      </c>
      <c r="T127" s="204" t="e">
        <f t="shared" si="32"/>
        <v>#DIV/0!</v>
      </c>
      <c r="U127" s="105" t="e">
        <f t="shared" si="33"/>
        <v>#NUM!</v>
      </c>
      <c r="V127" s="187" t="e">
        <f t="shared" si="34"/>
        <v>#NUM!</v>
      </c>
      <c r="W127" s="204" t="e">
        <f t="shared" si="35"/>
        <v>#DIV/0!</v>
      </c>
      <c r="X127" s="204" t="e">
        <f t="shared" si="36"/>
        <v>#DIV/0!</v>
      </c>
      <c r="Y127" s="204" t="e">
        <f t="shared" si="37"/>
        <v>#DIV/0!</v>
      </c>
    </row>
    <row r="128" spans="1:25" x14ac:dyDescent="0.2">
      <c r="A128" s="201">
        <v>0</v>
      </c>
      <c r="B128" s="14">
        <f t="shared" si="41"/>
        <v>0</v>
      </c>
      <c r="C128" s="14" t="e">
        <f t="shared" si="23"/>
        <v>#NUM!</v>
      </c>
      <c r="D128" s="202" t="e">
        <f t="shared" si="42"/>
        <v>#NUM!</v>
      </c>
      <c r="E128" s="203" t="e">
        <f t="shared" si="38"/>
        <v>#DIV/0!</v>
      </c>
      <c r="F128" s="201" t="e">
        <f t="shared" si="24"/>
        <v>#DIV/0!</v>
      </c>
      <c r="G128" s="201"/>
      <c r="H128" s="207">
        <f t="shared" si="25"/>
        <v>0</v>
      </c>
      <c r="I128" s="201" t="e">
        <f t="shared" si="22"/>
        <v>#NUM!</v>
      </c>
      <c r="J128" s="204" t="e">
        <f t="shared" si="26"/>
        <v>#DIV/0!</v>
      </c>
      <c r="K128" s="204" t="e">
        <f t="shared" si="27"/>
        <v>#DIV/0!</v>
      </c>
      <c r="L128" s="204" t="e">
        <f t="shared" si="28"/>
        <v>#DIV/0!</v>
      </c>
      <c r="M128" s="277" t="e">
        <f t="shared" si="39"/>
        <v>#NUM!</v>
      </c>
      <c r="N128" s="201"/>
      <c r="O128" s="205" t="e">
        <f t="shared" si="40"/>
        <v>#DIV/0!</v>
      </c>
      <c r="Q128" s="201" t="e">
        <f t="shared" si="29"/>
        <v>#DIV/0!</v>
      </c>
      <c r="R128" s="204" t="e">
        <f t="shared" si="30"/>
        <v>#DIV/0!</v>
      </c>
      <c r="S128" s="204" t="e">
        <f t="shared" si="31"/>
        <v>#DIV/0!</v>
      </c>
      <c r="T128" s="204" t="e">
        <f t="shared" si="32"/>
        <v>#DIV/0!</v>
      </c>
      <c r="U128" s="105" t="e">
        <f t="shared" si="33"/>
        <v>#NUM!</v>
      </c>
      <c r="V128" s="187" t="e">
        <f t="shared" si="34"/>
        <v>#NUM!</v>
      </c>
      <c r="W128" s="204" t="e">
        <f t="shared" si="35"/>
        <v>#DIV/0!</v>
      </c>
      <c r="X128" s="204" t="e">
        <f t="shared" si="36"/>
        <v>#DIV/0!</v>
      </c>
      <c r="Y128" s="204" t="e">
        <f t="shared" si="37"/>
        <v>#DIV/0!</v>
      </c>
    </row>
    <row r="129" spans="1:25" x14ac:dyDescent="0.2">
      <c r="A129" s="201">
        <v>0</v>
      </c>
      <c r="B129" s="14">
        <f t="shared" si="41"/>
        <v>0</v>
      </c>
      <c r="C129" s="14" t="e">
        <f t="shared" si="23"/>
        <v>#NUM!</v>
      </c>
      <c r="D129" s="202" t="e">
        <f t="shared" si="42"/>
        <v>#NUM!</v>
      </c>
      <c r="E129" s="203" t="e">
        <f t="shared" si="38"/>
        <v>#DIV/0!</v>
      </c>
      <c r="F129" s="201" t="e">
        <f t="shared" si="24"/>
        <v>#DIV/0!</v>
      </c>
      <c r="G129" s="201"/>
      <c r="H129" s="207">
        <f t="shared" si="25"/>
        <v>0</v>
      </c>
      <c r="I129" s="201" t="e">
        <f t="shared" si="22"/>
        <v>#NUM!</v>
      </c>
      <c r="J129" s="204" t="e">
        <f t="shared" si="26"/>
        <v>#DIV/0!</v>
      </c>
      <c r="K129" s="204" t="e">
        <f t="shared" si="27"/>
        <v>#DIV/0!</v>
      </c>
      <c r="L129" s="204" t="e">
        <f t="shared" si="28"/>
        <v>#DIV/0!</v>
      </c>
      <c r="M129" s="277" t="e">
        <f t="shared" si="39"/>
        <v>#NUM!</v>
      </c>
      <c r="N129" s="201"/>
      <c r="O129" s="205" t="e">
        <f t="shared" si="40"/>
        <v>#DIV/0!</v>
      </c>
      <c r="Q129" s="201" t="e">
        <f t="shared" si="29"/>
        <v>#DIV/0!</v>
      </c>
      <c r="R129" s="204" t="e">
        <f t="shared" si="30"/>
        <v>#DIV/0!</v>
      </c>
      <c r="S129" s="204" t="e">
        <f t="shared" si="31"/>
        <v>#DIV/0!</v>
      </c>
      <c r="T129" s="204" t="e">
        <f t="shared" si="32"/>
        <v>#DIV/0!</v>
      </c>
      <c r="U129" s="105" t="e">
        <f t="shared" si="33"/>
        <v>#NUM!</v>
      </c>
      <c r="V129" s="187" t="e">
        <f t="shared" si="34"/>
        <v>#NUM!</v>
      </c>
      <c r="W129" s="204" t="e">
        <f t="shared" si="35"/>
        <v>#DIV/0!</v>
      </c>
      <c r="X129" s="204" t="e">
        <f t="shared" si="36"/>
        <v>#DIV/0!</v>
      </c>
      <c r="Y129" s="204" t="e">
        <f t="shared" si="37"/>
        <v>#DIV/0!</v>
      </c>
    </row>
    <row r="130" spans="1:25" x14ac:dyDescent="0.2">
      <c r="A130" s="201">
        <v>0</v>
      </c>
      <c r="B130" s="14">
        <f t="shared" si="41"/>
        <v>0</v>
      </c>
      <c r="C130" s="14" t="e">
        <f t="shared" si="23"/>
        <v>#NUM!</v>
      </c>
      <c r="D130" s="202" t="e">
        <f t="shared" si="42"/>
        <v>#NUM!</v>
      </c>
      <c r="E130" s="203" t="e">
        <f t="shared" si="38"/>
        <v>#DIV/0!</v>
      </c>
      <c r="F130" s="201" t="e">
        <f t="shared" si="24"/>
        <v>#DIV/0!</v>
      </c>
      <c r="G130" s="201"/>
      <c r="H130" s="207">
        <f t="shared" si="25"/>
        <v>0</v>
      </c>
      <c r="I130" s="201" t="e">
        <f t="shared" si="22"/>
        <v>#NUM!</v>
      </c>
      <c r="J130" s="204" t="e">
        <f t="shared" si="26"/>
        <v>#DIV/0!</v>
      </c>
      <c r="K130" s="204" t="e">
        <f t="shared" si="27"/>
        <v>#DIV/0!</v>
      </c>
      <c r="L130" s="204" t="e">
        <f t="shared" si="28"/>
        <v>#DIV/0!</v>
      </c>
      <c r="M130" s="277" t="e">
        <f t="shared" si="39"/>
        <v>#NUM!</v>
      </c>
      <c r="N130" s="201"/>
      <c r="O130" s="205" t="e">
        <f t="shared" si="40"/>
        <v>#DIV/0!</v>
      </c>
      <c r="Q130" s="201" t="e">
        <f t="shared" si="29"/>
        <v>#DIV/0!</v>
      </c>
      <c r="R130" s="204" t="e">
        <f t="shared" si="30"/>
        <v>#DIV/0!</v>
      </c>
      <c r="S130" s="204" t="e">
        <f t="shared" si="31"/>
        <v>#DIV/0!</v>
      </c>
      <c r="T130" s="204" t="e">
        <f t="shared" si="32"/>
        <v>#DIV/0!</v>
      </c>
      <c r="U130" s="105" t="e">
        <f t="shared" si="33"/>
        <v>#NUM!</v>
      </c>
      <c r="V130" s="187" t="e">
        <f t="shared" si="34"/>
        <v>#NUM!</v>
      </c>
      <c r="W130" s="204" t="e">
        <f t="shared" si="35"/>
        <v>#DIV/0!</v>
      </c>
      <c r="X130" s="204" t="e">
        <f t="shared" si="36"/>
        <v>#DIV/0!</v>
      </c>
      <c r="Y130" s="204" t="e">
        <f t="shared" si="37"/>
        <v>#DIV/0!</v>
      </c>
    </row>
    <row r="131" spans="1:25" x14ac:dyDescent="0.2">
      <c r="A131" s="201">
        <v>0</v>
      </c>
      <c r="B131" s="14">
        <f t="shared" si="41"/>
        <v>0</v>
      </c>
      <c r="C131" s="14" t="e">
        <f t="shared" si="23"/>
        <v>#NUM!</v>
      </c>
      <c r="D131" s="202" t="e">
        <f t="shared" si="42"/>
        <v>#NUM!</v>
      </c>
      <c r="E131" s="203" t="e">
        <f t="shared" si="38"/>
        <v>#DIV/0!</v>
      </c>
      <c r="F131" s="201" t="e">
        <f t="shared" si="24"/>
        <v>#DIV/0!</v>
      </c>
      <c r="G131" s="201"/>
      <c r="H131" s="207">
        <f t="shared" si="25"/>
        <v>0</v>
      </c>
      <c r="I131" s="201" t="e">
        <f t="shared" si="22"/>
        <v>#NUM!</v>
      </c>
      <c r="J131" s="204" t="e">
        <f t="shared" si="26"/>
        <v>#DIV/0!</v>
      </c>
      <c r="K131" s="204" t="e">
        <f t="shared" si="27"/>
        <v>#DIV/0!</v>
      </c>
      <c r="L131" s="204" t="e">
        <f t="shared" si="28"/>
        <v>#DIV/0!</v>
      </c>
      <c r="M131" s="277" t="e">
        <f t="shared" si="39"/>
        <v>#NUM!</v>
      </c>
      <c r="N131" s="201"/>
      <c r="O131" s="205" t="e">
        <f t="shared" si="40"/>
        <v>#DIV/0!</v>
      </c>
      <c r="Q131" s="201" t="e">
        <f t="shared" si="29"/>
        <v>#DIV/0!</v>
      </c>
      <c r="R131" s="204" t="e">
        <f t="shared" si="30"/>
        <v>#DIV/0!</v>
      </c>
      <c r="S131" s="204" t="e">
        <f t="shared" si="31"/>
        <v>#DIV/0!</v>
      </c>
      <c r="T131" s="204" t="e">
        <f t="shared" si="32"/>
        <v>#DIV/0!</v>
      </c>
      <c r="U131" s="105" t="e">
        <f t="shared" si="33"/>
        <v>#NUM!</v>
      </c>
      <c r="V131" s="187" t="e">
        <f t="shared" si="34"/>
        <v>#NUM!</v>
      </c>
      <c r="W131" s="204" t="e">
        <f t="shared" si="35"/>
        <v>#DIV/0!</v>
      </c>
      <c r="X131" s="204" t="e">
        <f t="shared" si="36"/>
        <v>#DIV/0!</v>
      </c>
      <c r="Y131" s="204" t="e">
        <f t="shared" si="37"/>
        <v>#DIV/0!</v>
      </c>
    </row>
    <row r="132" spans="1:25" x14ac:dyDescent="0.2">
      <c r="A132" s="201">
        <v>0</v>
      </c>
      <c r="B132" s="14">
        <f t="shared" si="41"/>
        <v>0</v>
      </c>
      <c r="C132" s="14" t="e">
        <f t="shared" si="23"/>
        <v>#NUM!</v>
      </c>
      <c r="D132" s="202" t="e">
        <f t="shared" si="42"/>
        <v>#NUM!</v>
      </c>
      <c r="E132" s="203" t="e">
        <f t="shared" si="38"/>
        <v>#DIV/0!</v>
      </c>
      <c r="F132" s="201" t="e">
        <f t="shared" si="24"/>
        <v>#DIV/0!</v>
      </c>
      <c r="G132" s="201"/>
      <c r="H132" s="207">
        <f t="shared" si="25"/>
        <v>0</v>
      </c>
      <c r="I132" s="201" t="e">
        <f t="shared" si="22"/>
        <v>#NUM!</v>
      </c>
      <c r="J132" s="204" t="e">
        <f t="shared" si="26"/>
        <v>#DIV/0!</v>
      </c>
      <c r="K132" s="204" t="e">
        <f t="shared" si="27"/>
        <v>#DIV/0!</v>
      </c>
      <c r="L132" s="204" t="e">
        <f t="shared" si="28"/>
        <v>#DIV/0!</v>
      </c>
      <c r="M132" s="277" t="e">
        <f t="shared" si="39"/>
        <v>#NUM!</v>
      </c>
      <c r="N132" s="201"/>
      <c r="O132" s="205" t="e">
        <f t="shared" si="40"/>
        <v>#DIV/0!</v>
      </c>
      <c r="Q132" s="201" t="e">
        <f t="shared" si="29"/>
        <v>#DIV/0!</v>
      </c>
      <c r="R132" s="204" t="e">
        <f t="shared" si="30"/>
        <v>#DIV/0!</v>
      </c>
      <c r="S132" s="204" t="e">
        <f t="shared" si="31"/>
        <v>#DIV/0!</v>
      </c>
      <c r="T132" s="204" t="e">
        <f t="shared" si="32"/>
        <v>#DIV/0!</v>
      </c>
      <c r="U132" s="105" t="e">
        <f t="shared" si="33"/>
        <v>#NUM!</v>
      </c>
      <c r="V132" s="187" t="e">
        <f t="shared" si="34"/>
        <v>#NUM!</v>
      </c>
      <c r="W132" s="204" t="e">
        <f t="shared" si="35"/>
        <v>#DIV/0!</v>
      </c>
      <c r="X132" s="204" t="e">
        <f t="shared" si="36"/>
        <v>#DIV/0!</v>
      </c>
      <c r="Y132" s="204" t="e">
        <f t="shared" si="37"/>
        <v>#DIV/0!</v>
      </c>
    </row>
    <row r="133" spans="1:25" x14ac:dyDescent="0.2">
      <c r="A133" s="201">
        <v>0</v>
      </c>
      <c r="B133" s="14">
        <f t="shared" si="41"/>
        <v>0</v>
      </c>
      <c r="C133" s="14" t="e">
        <f t="shared" si="23"/>
        <v>#NUM!</v>
      </c>
      <c r="D133" s="202" t="e">
        <f t="shared" si="42"/>
        <v>#NUM!</v>
      </c>
      <c r="E133" s="203" t="e">
        <f t="shared" si="38"/>
        <v>#DIV/0!</v>
      </c>
      <c r="F133" s="201" t="e">
        <f t="shared" si="24"/>
        <v>#DIV/0!</v>
      </c>
      <c r="G133" s="201"/>
      <c r="H133" s="207">
        <f t="shared" si="25"/>
        <v>0</v>
      </c>
      <c r="I133" s="201" t="e">
        <f t="shared" si="22"/>
        <v>#NUM!</v>
      </c>
      <c r="J133" s="204" t="e">
        <f t="shared" si="26"/>
        <v>#DIV/0!</v>
      </c>
      <c r="K133" s="204" t="e">
        <f t="shared" si="27"/>
        <v>#DIV/0!</v>
      </c>
      <c r="L133" s="204" t="e">
        <f t="shared" si="28"/>
        <v>#DIV/0!</v>
      </c>
      <c r="M133" s="277" t="e">
        <f t="shared" si="39"/>
        <v>#NUM!</v>
      </c>
      <c r="N133" s="201"/>
      <c r="O133" s="205" t="e">
        <f t="shared" si="40"/>
        <v>#DIV/0!</v>
      </c>
      <c r="Q133" s="201" t="e">
        <f t="shared" si="29"/>
        <v>#DIV/0!</v>
      </c>
      <c r="R133" s="204" t="e">
        <f t="shared" si="30"/>
        <v>#DIV/0!</v>
      </c>
      <c r="S133" s="204" t="e">
        <f t="shared" si="31"/>
        <v>#DIV/0!</v>
      </c>
      <c r="T133" s="204" t="e">
        <f t="shared" si="32"/>
        <v>#DIV/0!</v>
      </c>
      <c r="U133" s="105" t="e">
        <f t="shared" si="33"/>
        <v>#NUM!</v>
      </c>
      <c r="V133" s="187" t="e">
        <f t="shared" si="34"/>
        <v>#NUM!</v>
      </c>
      <c r="W133" s="204" t="e">
        <f t="shared" si="35"/>
        <v>#DIV/0!</v>
      </c>
      <c r="X133" s="204" t="e">
        <f t="shared" si="36"/>
        <v>#DIV/0!</v>
      </c>
      <c r="Y133" s="204" t="e">
        <f t="shared" si="37"/>
        <v>#DIV/0!</v>
      </c>
    </row>
    <row r="134" spans="1:25" x14ac:dyDescent="0.2">
      <c r="A134" s="201">
        <v>0</v>
      </c>
      <c r="B134" s="14">
        <f t="shared" si="41"/>
        <v>0</v>
      </c>
      <c r="C134" s="14" t="e">
        <f t="shared" si="23"/>
        <v>#NUM!</v>
      </c>
      <c r="D134" s="202" t="e">
        <f t="shared" si="42"/>
        <v>#NUM!</v>
      </c>
      <c r="E134" s="203" t="e">
        <f t="shared" si="38"/>
        <v>#DIV/0!</v>
      </c>
      <c r="F134" s="201" t="e">
        <f t="shared" si="24"/>
        <v>#DIV/0!</v>
      </c>
      <c r="G134" s="201"/>
      <c r="H134" s="207">
        <f t="shared" si="25"/>
        <v>0</v>
      </c>
      <c r="I134" s="201" t="e">
        <f t="shared" si="22"/>
        <v>#NUM!</v>
      </c>
      <c r="J134" s="204" t="e">
        <f t="shared" si="26"/>
        <v>#DIV/0!</v>
      </c>
      <c r="K134" s="204" t="e">
        <f t="shared" si="27"/>
        <v>#DIV/0!</v>
      </c>
      <c r="L134" s="204" t="e">
        <f t="shared" si="28"/>
        <v>#DIV/0!</v>
      </c>
      <c r="M134" s="277" t="e">
        <f t="shared" si="39"/>
        <v>#NUM!</v>
      </c>
      <c r="N134" s="201"/>
      <c r="O134" s="205" t="e">
        <f t="shared" si="40"/>
        <v>#DIV/0!</v>
      </c>
      <c r="Q134" s="201" t="e">
        <f t="shared" si="29"/>
        <v>#DIV/0!</v>
      </c>
      <c r="R134" s="204" t="e">
        <f t="shared" si="30"/>
        <v>#DIV/0!</v>
      </c>
      <c r="S134" s="204" t="e">
        <f t="shared" si="31"/>
        <v>#DIV/0!</v>
      </c>
      <c r="T134" s="204" t="e">
        <f t="shared" si="32"/>
        <v>#DIV/0!</v>
      </c>
      <c r="U134" s="105" t="e">
        <f t="shared" si="33"/>
        <v>#NUM!</v>
      </c>
      <c r="V134" s="187" t="e">
        <f t="shared" si="34"/>
        <v>#NUM!</v>
      </c>
      <c r="W134" s="204" t="e">
        <f t="shared" si="35"/>
        <v>#DIV/0!</v>
      </c>
      <c r="X134" s="204" t="e">
        <f t="shared" si="36"/>
        <v>#DIV/0!</v>
      </c>
      <c r="Y134" s="204" t="e">
        <f t="shared" si="37"/>
        <v>#DIV/0!</v>
      </c>
    </row>
    <row r="135" spans="1:25" x14ac:dyDescent="0.2">
      <c r="A135" s="201">
        <v>0</v>
      </c>
      <c r="B135" s="14">
        <f t="shared" si="41"/>
        <v>0</v>
      </c>
      <c r="C135" s="14" t="e">
        <f t="shared" si="23"/>
        <v>#NUM!</v>
      </c>
      <c r="D135" s="202" t="e">
        <f t="shared" si="42"/>
        <v>#NUM!</v>
      </c>
      <c r="E135" s="203" t="e">
        <f t="shared" si="38"/>
        <v>#DIV/0!</v>
      </c>
      <c r="F135" s="201" t="e">
        <f t="shared" si="24"/>
        <v>#DIV/0!</v>
      </c>
      <c r="G135" s="201"/>
      <c r="H135" s="207">
        <f t="shared" si="25"/>
        <v>0</v>
      </c>
      <c r="I135" s="201" t="e">
        <f t="shared" si="22"/>
        <v>#NUM!</v>
      </c>
      <c r="J135" s="204" t="e">
        <f t="shared" si="26"/>
        <v>#DIV/0!</v>
      </c>
      <c r="K135" s="204" t="e">
        <f t="shared" si="27"/>
        <v>#DIV/0!</v>
      </c>
      <c r="L135" s="204" t="e">
        <f t="shared" si="28"/>
        <v>#DIV/0!</v>
      </c>
      <c r="M135" s="277" t="e">
        <f t="shared" si="39"/>
        <v>#NUM!</v>
      </c>
      <c r="N135" s="201"/>
      <c r="O135" s="205" t="e">
        <f t="shared" si="40"/>
        <v>#DIV/0!</v>
      </c>
      <c r="Q135" s="201" t="e">
        <f t="shared" si="29"/>
        <v>#DIV/0!</v>
      </c>
      <c r="R135" s="204" t="e">
        <f t="shared" si="30"/>
        <v>#DIV/0!</v>
      </c>
      <c r="S135" s="204" t="e">
        <f t="shared" si="31"/>
        <v>#DIV/0!</v>
      </c>
      <c r="T135" s="204" t="e">
        <f t="shared" si="32"/>
        <v>#DIV/0!</v>
      </c>
      <c r="U135" s="105" t="e">
        <f t="shared" si="33"/>
        <v>#NUM!</v>
      </c>
      <c r="V135" s="187" t="e">
        <f t="shared" si="34"/>
        <v>#NUM!</v>
      </c>
      <c r="W135" s="204" t="e">
        <f t="shared" si="35"/>
        <v>#DIV/0!</v>
      </c>
      <c r="X135" s="204" t="e">
        <f t="shared" si="36"/>
        <v>#DIV/0!</v>
      </c>
      <c r="Y135" s="204" t="e">
        <f t="shared" si="37"/>
        <v>#DIV/0!</v>
      </c>
    </row>
    <row r="136" spans="1:25" x14ac:dyDescent="0.2">
      <c r="A136" s="201">
        <v>0</v>
      </c>
      <c r="B136" s="14">
        <f t="shared" si="41"/>
        <v>0</v>
      </c>
      <c r="C136" s="14" t="e">
        <f t="shared" si="23"/>
        <v>#NUM!</v>
      </c>
      <c r="D136" s="202" t="e">
        <f t="shared" si="42"/>
        <v>#NUM!</v>
      </c>
      <c r="E136" s="203" t="e">
        <f t="shared" si="38"/>
        <v>#DIV/0!</v>
      </c>
      <c r="F136" s="201" t="e">
        <f t="shared" si="24"/>
        <v>#DIV/0!</v>
      </c>
      <c r="G136" s="201"/>
      <c r="H136" s="207">
        <f t="shared" si="25"/>
        <v>0</v>
      </c>
      <c r="I136" s="201" t="e">
        <f t="shared" si="22"/>
        <v>#NUM!</v>
      </c>
      <c r="J136" s="204" t="e">
        <f t="shared" si="26"/>
        <v>#DIV/0!</v>
      </c>
      <c r="K136" s="204" t="e">
        <f t="shared" si="27"/>
        <v>#DIV/0!</v>
      </c>
      <c r="L136" s="204" t="e">
        <f t="shared" si="28"/>
        <v>#DIV/0!</v>
      </c>
      <c r="M136" s="277" t="e">
        <f t="shared" si="39"/>
        <v>#NUM!</v>
      </c>
      <c r="N136" s="201"/>
      <c r="O136" s="205" t="e">
        <f t="shared" si="40"/>
        <v>#DIV/0!</v>
      </c>
      <c r="Q136" s="201" t="e">
        <f t="shared" si="29"/>
        <v>#DIV/0!</v>
      </c>
      <c r="R136" s="204" t="e">
        <f t="shared" si="30"/>
        <v>#DIV/0!</v>
      </c>
      <c r="S136" s="204" t="e">
        <f t="shared" si="31"/>
        <v>#DIV/0!</v>
      </c>
      <c r="T136" s="204" t="e">
        <f t="shared" si="32"/>
        <v>#DIV/0!</v>
      </c>
      <c r="U136" s="105" t="e">
        <f t="shared" si="33"/>
        <v>#NUM!</v>
      </c>
      <c r="V136" s="187" t="e">
        <f t="shared" si="34"/>
        <v>#NUM!</v>
      </c>
      <c r="W136" s="204" t="e">
        <f t="shared" si="35"/>
        <v>#DIV/0!</v>
      </c>
      <c r="X136" s="204" t="e">
        <f t="shared" si="36"/>
        <v>#DIV/0!</v>
      </c>
      <c r="Y136" s="204" t="e">
        <f t="shared" si="37"/>
        <v>#DIV/0!</v>
      </c>
    </row>
    <row r="137" spans="1:25" x14ac:dyDescent="0.2">
      <c r="A137" s="201">
        <v>0</v>
      </c>
      <c r="B137" s="14">
        <f t="shared" si="41"/>
        <v>0</v>
      </c>
      <c r="C137" s="14" t="e">
        <f t="shared" si="23"/>
        <v>#NUM!</v>
      </c>
      <c r="D137" s="202" t="e">
        <f t="shared" si="42"/>
        <v>#NUM!</v>
      </c>
      <c r="E137" s="203" t="e">
        <f t="shared" si="38"/>
        <v>#DIV/0!</v>
      </c>
      <c r="F137" s="201" t="e">
        <f t="shared" si="24"/>
        <v>#DIV/0!</v>
      </c>
      <c r="G137" s="201"/>
      <c r="H137" s="207">
        <f t="shared" si="25"/>
        <v>0</v>
      </c>
      <c r="I137" s="201" t="e">
        <f t="shared" si="22"/>
        <v>#NUM!</v>
      </c>
      <c r="J137" s="204" t="e">
        <f t="shared" si="26"/>
        <v>#DIV/0!</v>
      </c>
      <c r="K137" s="204" t="e">
        <f t="shared" si="27"/>
        <v>#DIV/0!</v>
      </c>
      <c r="L137" s="204" t="e">
        <f t="shared" si="28"/>
        <v>#DIV/0!</v>
      </c>
      <c r="M137" s="277" t="e">
        <f t="shared" si="39"/>
        <v>#NUM!</v>
      </c>
      <c r="N137" s="201"/>
      <c r="O137" s="205" t="e">
        <f t="shared" si="40"/>
        <v>#DIV/0!</v>
      </c>
      <c r="Q137" s="201" t="e">
        <f t="shared" si="29"/>
        <v>#DIV/0!</v>
      </c>
      <c r="R137" s="204" t="e">
        <f t="shared" si="30"/>
        <v>#DIV/0!</v>
      </c>
      <c r="S137" s="204" t="e">
        <f t="shared" si="31"/>
        <v>#DIV/0!</v>
      </c>
      <c r="T137" s="204" t="e">
        <f t="shared" si="32"/>
        <v>#DIV/0!</v>
      </c>
      <c r="U137" s="105" t="e">
        <f t="shared" si="33"/>
        <v>#NUM!</v>
      </c>
      <c r="V137" s="187" t="e">
        <f t="shared" si="34"/>
        <v>#NUM!</v>
      </c>
      <c r="W137" s="204" t="e">
        <f t="shared" si="35"/>
        <v>#DIV/0!</v>
      </c>
      <c r="X137" s="204" t="e">
        <f t="shared" si="36"/>
        <v>#DIV/0!</v>
      </c>
      <c r="Y137" s="204" t="e">
        <f t="shared" si="37"/>
        <v>#DIV/0!</v>
      </c>
    </row>
    <row r="138" spans="1:25" x14ac:dyDescent="0.2">
      <c r="A138" s="201">
        <v>0</v>
      </c>
      <c r="B138" s="14">
        <f t="shared" si="41"/>
        <v>0</v>
      </c>
      <c r="C138" s="14" t="e">
        <f t="shared" si="23"/>
        <v>#NUM!</v>
      </c>
      <c r="D138" s="202" t="e">
        <f t="shared" si="42"/>
        <v>#NUM!</v>
      </c>
      <c r="E138" s="203" t="e">
        <f t="shared" si="38"/>
        <v>#DIV/0!</v>
      </c>
      <c r="F138" s="201" t="e">
        <f t="shared" si="24"/>
        <v>#DIV/0!</v>
      </c>
      <c r="G138" s="201"/>
      <c r="H138" s="207">
        <f t="shared" si="25"/>
        <v>0</v>
      </c>
      <c r="I138" s="201" t="e">
        <f t="shared" si="22"/>
        <v>#NUM!</v>
      </c>
      <c r="J138" s="204" t="e">
        <f t="shared" si="26"/>
        <v>#DIV/0!</v>
      </c>
      <c r="K138" s="204" t="e">
        <f t="shared" si="27"/>
        <v>#DIV/0!</v>
      </c>
      <c r="L138" s="204" t="e">
        <f t="shared" si="28"/>
        <v>#DIV/0!</v>
      </c>
      <c r="M138" s="277" t="e">
        <f t="shared" si="39"/>
        <v>#NUM!</v>
      </c>
      <c r="N138" s="201"/>
      <c r="O138" s="205" t="e">
        <f t="shared" si="40"/>
        <v>#DIV/0!</v>
      </c>
      <c r="Q138" s="201" t="e">
        <f t="shared" si="29"/>
        <v>#DIV/0!</v>
      </c>
      <c r="R138" s="204" t="e">
        <f t="shared" si="30"/>
        <v>#DIV/0!</v>
      </c>
      <c r="S138" s="204" t="e">
        <f t="shared" si="31"/>
        <v>#DIV/0!</v>
      </c>
      <c r="T138" s="204" t="e">
        <f t="shared" si="32"/>
        <v>#DIV/0!</v>
      </c>
      <c r="U138" s="105" t="e">
        <f t="shared" si="33"/>
        <v>#NUM!</v>
      </c>
      <c r="V138" s="187" t="e">
        <f t="shared" si="34"/>
        <v>#NUM!</v>
      </c>
      <c r="W138" s="204" t="e">
        <f t="shared" si="35"/>
        <v>#DIV/0!</v>
      </c>
      <c r="X138" s="204" t="e">
        <f t="shared" si="36"/>
        <v>#DIV/0!</v>
      </c>
      <c r="Y138" s="204" t="e">
        <f t="shared" si="37"/>
        <v>#DIV/0!</v>
      </c>
    </row>
    <row r="139" spans="1:25" x14ac:dyDescent="0.2">
      <c r="A139" s="201">
        <v>0</v>
      </c>
      <c r="B139" s="14">
        <f t="shared" si="41"/>
        <v>0</v>
      </c>
      <c r="C139" s="14" t="e">
        <f t="shared" si="23"/>
        <v>#NUM!</v>
      </c>
      <c r="D139" s="202" t="e">
        <f t="shared" si="42"/>
        <v>#NUM!</v>
      </c>
      <c r="E139" s="203" t="e">
        <f t="shared" si="38"/>
        <v>#DIV/0!</v>
      </c>
      <c r="F139" s="201" t="e">
        <f t="shared" si="24"/>
        <v>#DIV/0!</v>
      </c>
      <c r="G139" s="201"/>
      <c r="H139" s="207">
        <f t="shared" si="25"/>
        <v>0</v>
      </c>
      <c r="I139" s="201" t="e">
        <f t="shared" si="22"/>
        <v>#NUM!</v>
      </c>
      <c r="J139" s="204" t="e">
        <f t="shared" si="26"/>
        <v>#DIV/0!</v>
      </c>
      <c r="K139" s="204" t="e">
        <f t="shared" si="27"/>
        <v>#DIV/0!</v>
      </c>
      <c r="L139" s="204" t="e">
        <f t="shared" si="28"/>
        <v>#DIV/0!</v>
      </c>
      <c r="M139" s="277" t="e">
        <f t="shared" si="39"/>
        <v>#NUM!</v>
      </c>
      <c r="N139" s="201"/>
      <c r="O139" s="205" t="e">
        <f t="shared" si="40"/>
        <v>#DIV/0!</v>
      </c>
      <c r="Q139" s="201" t="e">
        <f t="shared" si="29"/>
        <v>#DIV/0!</v>
      </c>
      <c r="R139" s="204" t="e">
        <f t="shared" si="30"/>
        <v>#DIV/0!</v>
      </c>
      <c r="S139" s="204" t="e">
        <f t="shared" si="31"/>
        <v>#DIV/0!</v>
      </c>
      <c r="T139" s="204" t="e">
        <f t="shared" si="32"/>
        <v>#DIV/0!</v>
      </c>
      <c r="U139" s="105" t="e">
        <f t="shared" si="33"/>
        <v>#NUM!</v>
      </c>
      <c r="V139" s="187" t="e">
        <f t="shared" si="34"/>
        <v>#NUM!</v>
      </c>
      <c r="W139" s="204" t="e">
        <f t="shared" si="35"/>
        <v>#DIV/0!</v>
      </c>
      <c r="X139" s="204" t="e">
        <f t="shared" si="36"/>
        <v>#DIV/0!</v>
      </c>
      <c r="Y139" s="204" t="e">
        <f t="shared" si="37"/>
        <v>#DIV/0!</v>
      </c>
    </row>
    <row r="140" spans="1:25" x14ac:dyDescent="0.2">
      <c r="A140" s="201">
        <v>0</v>
      </c>
      <c r="B140" s="14">
        <f t="shared" si="41"/>
        <v>0</v>
      </c>
      <c r="C140" s="14" t="e">
        <f t="shared" si="23"/>
        <v>#NUM!</v>
      </c>
      <c r="D140" s="202" t="e">
        <f t="shared" si="42"/>
        <v>#NUM!</v>
      </c>
      <c r="E140" s="203" t="e">
        <f t="shared" si="38"/>
        <v>#DIV/0!</v>
      </c>
      <c r="F140" s="201" t="e">
        <f t="shared" si="24"/>
        <v>#DIV/0!</v>
      </c>
      <c r="G140" s="201"/>
      <c r="H140" s="207">
        <f t="shared" si="25"/>
        <v>0</v>
      </c>
      <c r="I140" s="201" t="e">
        <f t="shared" si="22"/>
        <v>#NUM!</v>
      </c>
      <c r="J140" s="204" t="e">
        <f t="shared" si="26"/>
        <v>#DIV/0!</v>
      </c>
      <c r="K140" s="204" t="e">
        <f t="shared" si="27"/>
        <v>#DIV/0!</v>
      </c>
      <c r="L140" s="204" t="e">
        <f t="shared" si="28"/>
        <v>#DIV/0!</v>
      </c>
      <c r="M140" s="277" t="e">
        <f t="shared" si="39"/>
        <v>#NUM!</v>
      </c>
      <c r="N140" s="201"/>
      <c r="O140" s="205" t="e">
        <f t="shared" si="40"/>
        <v>#DIV/0!</v>
      </c>
      <c r="Q140" s="201" t="e">
        <f t="shared" si="29"/>
        <v>#DIV/0!</v>
      </c>
      <c r="R140" s="204" t="e">
        <f t="shared" si="30"/>
        <v>#DIV/0!</v>
      </c>
      <c r="S140" s="204" t="e">
        <f t="shared" si="31"/>
        <v>#DIV/0!</v>
      </c>
      <c r="T140" s="204" t="e">
        <f t="shared" si="32"/>
        <v>#DIV/0!</v>
      </c>
      <c r="U140" s="105" t="e">
        <f t="shared" si="33"/>
        <v>#NUM!</v>
      </c>
      <c r="V140" s="187" t="e">
        <f t="shared" si="34"/>
        <v>#NUM!</v>
      </c>
      <c r="W140" s="204" t="e">
        <f t="shared" si="35"/>
        <v>#DIV/0!</v>
      </c>
      <c r="X140" s="204" t="e">
        <f t="shared" si="36"/>
        <v>#DIV/0!</v>
      </c>
      <c r="Y140" s="204" t="e">
        <f t="shared" si="37"/>
        <v>#DIV/0!</v>
      </c>
    </row>
    <row r="141" spans="1:25" x14ac:dyDescent="0.2">
      <c r="A141" s="201">
        <v>0</v>
      </c>
      <c r="B141" s="14">
        <f t="shared" si="41"/>
        <v>0</v>
      </c>
      <c r="C141" s="14" t="e">
        <f t="shared" si="23"/>
        <v>#NUM!</v>
      </c>
      <c r="D141" s="202" t="e">
        <f t="shared" si="42"/>
        <v>#NUM!</v>
      </c>
      <c r="E141" s="203" t="e">
        <f t="shared" si="38"/>
        <v>#DIV/0!</v>
      </c>
      <c r="F141" s="201" t="e">
        <f t="shared" si="24"/>
        <v>#DIV/0!</v>
      </c>
      <c r="G141" s="201"/>
      <c r="H141" s="207">
        <f t="shared" si="25"/>
        <v>0</v>
      </c>
      <c r="I141" s="201" t="e">
        <f t="shared" si="22"/>
        <v>#NUM!</v>
      </c>
      <c r="J141" s="204" t="e">
        <f t="shared" si="26"/>
        <v>#DIV/0!</v>
      </c>
      <c r="K141" s="204" t="e">
        <f t="shared" si="27"/>
        <v>#DIV/0!</v>
      </c>
      <c r="L141" s="204" t="e">
        <f t="shared" si="28"/>
        <v>#DIV/0!</v>
      </c>
      <c r="M141" s="277" t="e">
        <f t="shared" si="39"/>
        <v>#NUM!</v>
      </c>
      <c r="N141" s="201"/>
      <c r="O141" s="205" t="e">
        <f t="shared" si="40"/>
        <v>#DIV/0!</v>
      </c>
      <c r="Q141" s="201" t="e">
        <f t="shared" si="29"/>
        <v>#DIV/0!</v>
      </c>
      <c r="R141" s="204" t="e">
        <f t="shared" si="30"/>
        <v>#DIV/0!</v>
      </c>
      <c r="S141" s="204" t="e">
        <f t="shared" si="31"/>
        <v>#DIV/0!</v>
      </c>
      <c r="T141" s="204" t="e">
        <f t="shared" si="32"/>
        <v>#DIV/0!</v>
      </c>
      <c r="U141" s="105" t="e">
        <f t="shared" si="33"/>
        <v>#NUM!</v>
      </c>
      <c r="V141" s="187" t="e">
        <f t="shared" si="34"/>
        <v>#NUM!</v>
      </c>
      <c r="W141" s="204" t="e">
        <f t="shared" si="35"/>
        <v>#DIV/0!</v>
      </c>
      <c r="X141" s="204" t="e">
        <f t="shared" si="36"/>
        <v>#DIV/0!</v>
      </c>
      <c r="Y141" s="204" t="e">
        <f t="shared" si="37"/>
        <v>#DIV/0!</v>
      </c>
    </row>
    <row r="142" spans="1:25" x14ac:dyDescent="0.2">
      <c r="A142" s="201">
        <v>0</v>
      </c>
      <c r="B142" s="14">
        <f t="shared" si="41"/>
        <v>0</v>
      </c>
      <c r="C142" s="14" t="e">
        <f t="shared" si="23"/>
        <v>#NUM!</v>
      </c>
      <c r="D142" s="202" t="e">
        <f t="shared" si="42"/>
        <v>#NUM!</v>
      </c>
      <c r="E142" s="203" t="e">
        <f t="shared" si="38"/>
        <v>#DIV/0!</v>
      </c>
      <c r="F142" s="201" t="e">
        <f t="shared" si="24"/>
        <v>#DIV/0!</v>
      </c>
      <c r="G142" s="201"/>
      <c r="H142" s="207">
        <f t="shared" si="25"/>
        <v>0</v>
      </c>
      <c r="I142" s="201" t="e">
        <f t="shared" si="22"/>
        <v>#NUM!</v>
      </c>
      <c r="J142" s="204" t="e">
        <f t="shared" si="26"/>
        <v>#DIV/0!</v>
      </c>
      <c r="K142" s="204" t="e">
        <f t="shared" si="27"/>
        <v>#DIV/0!</v>
      </c>
      <c r="L142" s="204" t="e">
        <f t="shared" si="28"/>
        <v>#DIV/0!</v>
      </c>
      <c r="M142" s="277" t="e">
        <f t="shared" si="39"/>
        <v>#NUM!</v>
      </c>
      <c r="N142" s="201"/>
      <c r="O142" s="205" t="e">
        <f t="shared" si="40"/>
        <v>#DIV/0!</v>
      </c>
      <c r="Q142" s="201" t="e">
        <f t="shared" si="29"/>
        <v>#DIV/0!</v>
      </c>
      <c r="R142" s="204" t="e">
        <f t="shared" si="30"/>
        <v>#DIV/0!</v>
      </c>
      <c r="S142" s="204" t="e">
        <f t="shared" si="31"/>
        <v>#DIV/0!</v>
      </c>
      <c r="T142" s="204" t="e">
        <f t="shared" si="32"/>
        <v>#DIV/0!</v>
      </c>
      <c r="U142" s="105" t="e">
        <f t="shared" si="33"/>
        <v>#NUM!</v>
      </c>
      <c r="V142" s="187" t="e">
        <f t="shared" si="34"/>
        <v>#NUM!</v>
      </c>
      <c r="W142" s="204" t="e">
        <f t="shared" si="35"/>
        <v>#DIV/0!</v>
      </c>
      <c r="X142" s="204" t="e">
        <f t="shared" si="36"/>
        <v>#DIV/0!</v>
      </c>
      <c r="Y142" s="204" t="e">
        <f t="shared" si="37"/>
        <v>#DIV/0!</v>
      </c>
    </row>
    <row r="143" spans="1:25" x14ac:dyDescent="0.2">
      <c r="A143" s="201">
        <v>0</v>
      </c>
      <c r="B143" s="14">
        <f t="shared" si="41"/>
        <v>0</v>
      </c>
      <c r="C143" s="14" t="e">
        <f t="shared" si="23"/>
        <v>#NUM!</v>
      </c>
      <c r="D143" s="202" t="e">
        <f t="shared" si="42"/>
        <v>#NUM!</v>
      </c>
      <c r="E143" s="203" t="e">
        <f t="shared" si="38"/>
        <v>#DIV/0!</v>
      </c>
      <c r="F143" s="201" t="e">
        <f t="shared" si="24"/>
        <v>#DIV/0!</v>
      </c>
      <c r="G143" s="201"/>
      <c r="H143" s="207">
        <f t="shared" si="25"/>
        <v>0</v>
      </c>
      <c r="I143" s="201" t="e">
        <f t="shared" si="22"/>
        <v>#NUM!</v>
      </c>
      <c r="J143" s="204" t="e">
        <f t="shared" si="26"/>
        <v>#DIV/0!</v>
      </c>
      <c r="K143" s="204" t="e">
        <f t="shared" si="27"/>
        <v>#DIV/0!</v>
      </c>
      <c r="L143" s="204" t="e">
        <f t="shared" si="28"/>
        <v>#DIV/0!</v>
      </c>
      <c r="M143" s="277" t="e">
        <f t="shared" si="39"/>
        <v>#NUM!</v>
      </c>
      <c r="N143" s="201"/>
      <c r="O143" s="205" t="e">
        <f t="shared" si="40"/>
        <v>#DIV/0!</v>
      </c>
      <c r="Q143" s="201" t="e">
        <f t="shared" si="29"/>
        <v>#DIV/0!</v>
      </c>
      <c r="R143" s="204" t="e">
        <f t="shared" si="30"/>
        <v>#DIV/0!</v>
      </c>
      <c r="S143" s="204" t="e">
        <f t="shared" si="31"/>
        <v>#DIV/0!</v>
      </c>
      <c r="T143" s="204" t="e">
        <f t="shared" si="32"/>
        <v>#DIV/0!</v>
      </c>
      <c r="U143" s="105" t="e">
        <f t="shared" si="33"/>
        <v>#NUM!</v>
      </c>
      <c r="V143" s="187" t="e">
        <f t="shared" si="34"/>
        <v>#NUM!</v>
      </c>
      <c r="W143" s="204" t="e">
        <f t="shared" si="35"/>
        <v>#DIV/0!</v>
      </c>
      <c r="X143" s="204" t="e">
        <f t="shared" si="36"/>
        <v>#DIV/0!</v>
      </c>
      <c r="Y143" s="204" t="e">
        <f t="shared" si="37"/>
        <v>#DIV/0!</v>
      </c>
    </row>
    <row r="144" spans="1:25" x14ac:dyDescent="0.2">
      <c r="A144" s="201">
        <v>0</v>
      </c>
      <c r="B144" s="14">
        <f t="shared" si="41"/>
        <v>0</v>
      </c>
      <c r="C144" s="14" t="e">
        <f t="shared" si="23"/>
        <v>#NUM!</v>
      </c>
      <c r="D144" s="202" t="e">
        <f t="shared" si="42"/>
        <v>#NUM!</v>
      </c>
      <c r="E144" s="203" t="e">
        <f t="shared" si="38"/>
        <v>#DIV/0!</v>
      </c>
      <c r="F144" s="201" t="e">
        <f t="shared" si="24"/>
        <v>#DIV/0!</v>
      </c>
      <c r="G144" s="201"/>
      <c r="H144" s="207">
        <f t="shared" si="25"/>
        <v>0</v>
      </c>
      <c r="I144" s="201" t="e">
        <f t="shared" si="22"/>
        <v>#NUM!</v>
      </c>
      <c r="J144" s="204" t="e">
        <f t="shared" si="26"/>
        <v>#DIV/0!</v>
      </c>
      <c r="K144" s="204" t="e">
        <f t="shared" si="27"/>
        <v>#DIV/0!</v>
      </c>
      <c r="L144" s="204" t="e">
        <f t="shared" si="28"/>
        <v>#DIV/0!</v>
      </c>
      <c r="M144" s="277" t="e">
        <f t="shared" si="39"/>
        <v>#NUM!</v>
      </c>
      <c r="N144" s="201"/>
      <c r="O144" s="205" t="e">
        <f t="shared" si="40"/>
        <v>#DIV/0!</v>
      </c>
      <c r="Q144" s="201" t="e">
        <f t="shared" si="29"/>
        <v>#DIV/0!</v>
      </c>
      <c r="R144" s="204" t="e">
        <f t="shared" si="30"/>
        <v>#DIV/0!</v>
      </c>
      <c r="S144" s="204" t="e">
        <f t="shared" si="31"/>
        <v>#DIV/0!</v>
      </c>
      <c r="T144" s="204" t="e">
        <f t="shared" si="32"/>
        <v>#DIV/0!</v>
      </c>
      <c r="U144" s="105" t="e">
        <f t="shared" si="33"/>
        <v>#NUM!</v>
      </c>
      <c r="V144" s="187" t="e">
        <f t="shared" si="34"/>
        <v>#NUM!</v>
      </c>
      <c r="W144" s="204" t="e">
        <f t="shared" si="35"/>
        <v>#DIV/0!</v>
      </c>
      <c r="X144" s="204" t="e">
        <f t="shared" si="36"/>
        <v>#DIV/0!</v>
      </c>
      <c r="Y144" s="204" t="e">
        <f t="shared" si="37"/>
        <v>#DIV/0!</v>
      </c>
    </row>
    <row r="145" spans="1:25" x14ac:dyDescent="0.2">
      <c r="A145" s="201">
        <v>0</v>
      </c>
      <c r="B145" s="14">
        <f t="shared" si="41"/>
        <v>0</v>
      </c>
      <c r="C145" s="14" t="e">
        <f t="shared" si="23"/>
        <v>#NUM!</v>
      </c>
      <c r="D145" s="202" t="e">
        <f t="shared" si="42"/>
        <v>#NUM!</v>
      </c>
      <c r="E145" s="203" t="e">
        <f t="shared" si="38"/>
        <v>#DIV/0!</v>
      </c>
      <c r="F145" s="201" t="e">
        <f t="shared" si="24"/>
        <v>#DIV/0!</v>
      </c>
      <c r="G145" s="201"/>
      <c r="H145" s="207">
        <f t="shared" si="25"/>
        <v>0</v>
      </c>
      <c r="I145" s="201" t="e">
        <f t="shared" si="22"/>
        <v>#NUM!</v>
      </c>
      <c r="J145" s="204" t="e">
        <f t="shared" si="26"/>
        <v>#DIV/0!</v>
      </c>
      <c r="K145" s="204" t="e">
        <f t="shared" si="27"/>
        <v>#DIV/0!</v>
      </c>
      <c r="L145" s="204" t="e">
        <f t="shared" si="28"/>
        <v>#DIV/0!</v>
      </c>
      <c r="M145" s="277" t="e">
        <f t="shared" si="39"/>
        <v>#NUM!</v>
      </c>
      <c r="N145" s="201"/>
      <c r="O145" s="205" t="e">
        <f t="shared" si="40"/>
        <v>#DIV/0!</v>
      </c>
      <c r="Q145" s="201" t="e">
        <f t="shared" si="29"/>
        <v>#DIV/0!</v>
      </c>
      <c r="R145" s="204" t="e">
        <f t="shared" si="30"/>
        <v>#DIV/0!</v>
      </c>
      <c r="S145" s="204" t="e">
        <f t="shared" si="31"/>
        <v>#DIV/0!</v>
      </c>
      <c r="T145" s="204" t="e">
        <f t="shared" si="32"/>
        <v>#DIV/0!</v>
      </c>
      <c r="U145" s="105" t="e">
        <f t="shared" si="33"/>
        <v>#NUM!</v>
      </c>
      <c r="V145" s="187" t="e">
        <f t="shared" si="34"/>
        <v>#NUM!</v>
      </c>
      <c r="W145" s="204" t="e">
        <f t="shared" si="35"/>
        <v>#DIV/0!</v>
      </c>
      <c r="X145" s="204" t="e">
        <f t="shared" si="36"/>
        <v>#DIV/0!</v>
      </c>
      <c r="Y145" s="204" t="e">
        <f t="shared" si="37"/>
        <v>#DIV/0!</v>
      </c>
    </row>
    <row r="146" spans="1:25" x14ac:dyDescent="0.2">
      <c r="A146" s="201">
        <v>0</v>
      </c>
      <c r="B146" s="14">
        <f t="shared" si="41"/>
        <v>0</v>
      </c>
      <c r="C146" s="14" t="e">
        <f t="shared" si="23"/>
        <v>#NUM!</v>
      </c>
      <c r="D146" s="202" t="e">
        <f t="shared" si="42"/>
        <v>#NUM!</v>
      </c>
      <c r="E146" s="203" t="e">
        <f t="shared" si="38"/>
        <v>#DIV/0!</v>
      </c>
      <c r="F146" s="201" t="e">
        <f t="shared" si="24"/>
        <v>#DIV/0!</v>
      </c>
      <c r="G146" s="201"/>
      <c r="H146" s="207">
        <f t="shared" si="25"/>
        <v>0</v>
      </c>
      <c r="I146" s="201" t="e">
        <f t="shared" si="22"/>
        <v>#NUM!</v>
      </c>
      <c r="J146" s="204" t="e">
        <f t="shared" si="26"/>
        <v>#DIV/0!</v>
      </c>
      <c r="K146" s="204" t="e">
        <f t="shared" si="27"/>
        <v>#DIV/0!</v>
      </c>
      <c r="L146" s="204" t="e">
        <f t="shared" si="28"/>
        <v>#DIV/0!</v>
      </c>
      <c r="M146" s="277" t="e">
        <f t="shared" si="39"/>
        <v>#NUM!</v>
      </c>
      <c r="N146" s="201"/>
      <c r="O146" s="205" t="e">
        <f t="shared" si="40"/>
        <v>#DIV/0!</v>
      </c>
      <c r="Q146" s="201" t="e">
        <f t="shared" si="29"/>
        <v>#DIV/0!</v>
      </c>
      <c r="R146" s="204" t="e">
        <f t="shared" si="30"/>
        <v>#DIV/0!</v>
      </c>
      <c r="S146" s="204" t="e">
        <f t="shared" si="31"/>
        <v>#DIV/0!</v>
      </c>
      <c r="T146" s="204" t="e">
        <f t="shared" si="32"/>
        <v>#DIV/0!</v>
      </c>
      <c r="U146" s="105" t="e">
        <f t="shared" si="33"/>
        <v>#NUM!</v>
      </c>
      <c r="V146" s="187" t="e">
        <f t="shared" si="34"/>
        <v>#NUM!</v>
      </c>
      <c r="W146" s="204" t="e">
        <f t="shared" si="35"/>
        <v>#DIV/0!</v>
      </c>
      <c r="X146" s="204" t="e">
        <f t="shared" si="36"/>
        <v>#DIV/0!</v>
      </c>
      <c r="Y146" s="204" t="e">
        <f t="shared" si="37"/>
        <v>#DIV/0!</v>
      </c>
    </row>
    <row r="147" spans="1:25" x14ac:dyDescent="0.2">
      <c r="A147" s="201">
        <v>0</v>
      </c>
      <c r="B147" s="14">
        <f t="shared" si="41"/>
        <v>0</v>
      </c>
      <c r="C147" s="14" t="e">
        <f t="shared" si="23"/>
        <v>#NUM!</v>
      </c>
      <c r="D147" s="202" t="e">
        <f t="shared" si="42"/>
        <v>#NUM!</v>
      </c>
      <c r="E147" s="203" t="e">
        <f t="shared" si="38"/>
        <v>#DIV/0!</v>
      </c>
      <c r="F147" s="201" t="e">
        <f t="shared" si="24"/>
        <v>#DIV/0!</v>
      </c>
      <c r="G147" s="201"/>
      <c r="H147" s="207">
        <f t="shared" si="25"/>
        <v>0</v>
      </c>
      <c r="I147" s="201" t="e">
        <f t="shared" si="22"/>
        <v>#NUM!</v>
      </c>
      <c r="J147" s="204" t="e">
        <f t="shared" si="26"/>
        <v>#DIV/0!</v>
      </c>
      <c r="K147" s="204" t="e">
        <f t="shared" si="27"/>
        <v>#DIV/0!</v>
      </c>
      <c r="L147" s="204" t="e">
        <f t="shared" si="28"/>
        <v>#DIV/0!</v>
      </c>
      <c r="M147" s="277" t="e">
        <f t="shared" si="39"/>
        <v>#NUM!</v>
      </c>
      <c r="N147" s="201"/>
      <c r="O147" s="205" t="e">
        <f t="shared" si="40"/>
        <v>#DIV/0!</v>
      </c>
      <c r="Q147" s="201" t="e">
        <f t="shared" si="29"/>
        <v>#DIV/0!</v>
      </c>
      <c r="R147" s="204" t="e">
        <f t="shared" si="30"/>
        <v>#DIV/0!</v>
      </c>
      <c r="S147" s="204" t="e">
        <f t="shared" si="31"/>
        <v>#DIV/0!</v>
      </c>
      <c r="T147" s="204" t="e">
        <f t="shared" si="32"/>
        <v>#DIV/0!</v>
      </c>
      <c r="U147" s="105" t="e">
        <f t="shared" si="33"/>
        <v>#NUM!</v>
      </c>
      <c r="V147" s="187" t="e">
        <f t="shared" si="34"/>
        <v>#NUM!</v>
      </c>
      <c r="W147" s="204" t="e">
        <f t="shared" si="35"/>
        <v>#DIV/0!</v>
      </c>
      <c r="X147" s="204" t="e">
        <f t="shared" si="36"/>
        <v>#DIV/0!</v>
      </c>
      <c r="Y147" s="204" t="e">
        <f t="shared" si="37"/>
        <v>#DIV/0!</v>
      </c>
    </row>
    <row r="148" spans="1:25" x14ac:dyDescent="0.2">
      <c r="A148" s="201">
        <v>0</v>
      </c>
      <c r="B148" s="14">
        <f t="shared" si="41"/>
        <v>0</v>
      </c>
      <c r="C148" s="14" t="e">
        <f t="shared" si="23"/>
        <v>#NUM!</v>
      </c>
      <c r="D148" s="202" t="e">
        <f t="shared" si="42"/>
        <v>#NUM!</v>
      </c>
      <c r="E148" s="203" t="e">
        <f t="shared" si="38"/>
        <v>#DIV/0!</v>
      </c>
      <c r="F148" s="201" t="e">
        <f t="shared" si="24"/>
        <v>#DIV/0!</v>
      </c>
      <c r="G148" s="201"/>
      <c r="H148" s="207">
        <f t="shared" si="25"/>
        <v>0</v>
      </c>
      <c r="I148" s="201" t="e">
        <f t="shared" si="22"/>
        <v>#NUM!</v>
      </c>
      <c r="J148" s="204" t="e">
        <f t="shared" si="26"/>
        <v>#DIV/0!</v>
      </c>
      <c r="K148" s="204" t="e">
        <f t="shared" si="27"/>
        <v>#DIV/0!</v>
      </c>
      <c r="L148" s="204" t="e">
        <f t="shared" si="28"/>
        <v>#DIV/0!</v>
      </c>
      <c r="M148" s="277" t="e">
        <f t="shared" si="39"/>
        <v>#NUM!</v>
      </c>
      <c r="N148" s="201"/>
      <c r="O148" s="205" t="e">
        <f t="shared" si="40"/>
        <v>#DIV/0!</v>
      </c>
      <c r="Q148" s="201" t="e">
        <f t="shared" si="29"/>
        <v>#DIV/0!</v>
      </c>
      <c r="R148" s="204" t="e">
        <f t="shared" si="30"/>
        <v>#DIV/0!</v>
      </c>
      <c r="S148" s="204" t="e">
        <f t="shared" si="31"/>
        <v>#DIV/0!</v>
      </c>
      <c r="T148" s="204" t="e">
        <f t="shared" si="32"/>
        <v>#DIV/0!</v>
      </c>
      <c r="U148" s="105" t="e">
        <f t="shared" si="33"/>
        <v>#NUM!</v>
      </c>
      <c r="V148" s="187" t="e">
        <f t="shared" si="34"/>
        <v>#NUM!</v>
      </c>
      <c r="W148" s="204" t="e">
        <f t="shared" si="35"/>
        <v>#DIV/0!</v>
      </c>
      <c r="X148" s="204" t="e">
        <f t="shared" si="36"/>
        <v>#DIV/0!</v>
      </c>
      <c r="Y148" s="204" t="e">
        <f t="shared" si="37"/>
        <v>#DIV/0!</v>
      </c>
    </row>
    <row r="149" spans="1:25" x14ac:dyDescent="0.2">
      <c r="A149" s="201">
        <v>0</v>
      </c>
      <c r="B149" s="14">
        <f t="shared" si="41"/>
        <v>0</v>
      </c>
      <c r="C149" s="14" t="e">
        <f t="shared" si="23"/>
        <v>#NUM!</v>
      </c>
      <c r="D149" s="202" t="e">
        <f t="shared" si="42"/>
        <v>#NUM!</v>
      </c>
      <c r="E149" s="203" t="e">
        <f t="shared" si="38"/>
        <v>#DIV/0!</v>
      </c>
      <c r="F149" s="201" t="e">
        <f t="shared" si="24"/>
        <v>#DIV/0!</v>
      </c>
      <c r="G149" s="201"/>
      <c r="H149" s="207">
        <f t="shared" si="25"/>
        <v>0</v>
      </c>
      <c r="I149" s="201" t="e">
        <f t="shared" si="22"/>
        <v>#NUM!</v>
      </c>
      <c r="J149" s="204" t="e">
        <f t="shared" si="26"/>
        <v>#DIV/0!</v>
      </c>
      <c r="K149" s="204" t="e">
        <f t="shared" si="27"/>
        <v>#DIV/0!</v>
      </c>
      <c r="L149" s="204" t="e">
        <f t="shared" si="28"/>
        <v>#DIV/0!</v>
      </c>
      <c r="M149" s="277" t="e">
        <f t="shared" si="39"/>
        <v>#NUM!</v>
      </c>
      <c r="N149" s="201"/>
      <c r="O149" s="205" t="e">
        <f t="shared" si="40"/>
        <v>#DIV/0!</v>
      </c>
      <c r="Q149" s="201" t="e">
        <f t="shared" si="29"/>
        <v>#DIV/0!</v>
      </c>
      <c r="R149" s="204" t="e">
        <f t="shared" si="30"/>
        <v>#DIV/0!</v>
      </c>
      <c r="S149" s="204" t="e">
        <f t="shared" si="31"/>
        <v>#DIV/0!</v>
      </c>
      <c r="T149" s="204" t="e">
        <f t="shared" si="32"/>
        <v>#DIV/0!</v>
      </c>
      <c r="U149" s="105" t="e">
        <f t="shared" si="33"/>
        <v>#NUM!</v>
      </c>
      <c r="V149" s="187" t="e">
        <f t="shared" si="34"/>
        <v>#NUM!</v>
      </c>
      <c r="W149" s="204" t="e">
        <f t="shared" si="35"/>
        <v>#DIV/0!</v>
      </c>
      <c r="X149" s="204" t="e">
        <f t="shared" si="36"/>
        <v>#DIV/0!</v>
      </c>
      <c r="Y149" s="204" t="e">
        <f t="shared" si="37"/>
        <v>#DIV/0!</v>
      </c>
    </row>
    <row r="150" spans="1:25" x14ac:dyDescent="0.2">
      <c r="A150" s="201">
        <v>0</v>
      </c>
      <c r="B150" s="14">
        <f t="shared" si="41"/>
        <v>0</v>
      </c>
      <c r="C150" s="14" t="e">
        <f t="shared" si="23"/>
        <v>#NUM!</v>
      </c>
      <c r="D150" s="202" t="e">
        <f t="shared" si="42"/>
        <v>#NUM!</v>
      </c>
      <c r="E150" s="203" t="e">
        <f t="shared" si="38"/>
        <v>#DIV/0!</v>
      </c>
      <c r="F150" s="201" t="e">
        <f t="shared" si="24"/>
        <v>#DIV/0!</v>
      </c>
      <c r="G150" s="201"/>
      <c r="H150" s="207">
        <f t="shared" si="25"/>
        <v>0</v>
      </c>
      <c r="I150" s="201" t="e">
        <f t="shared" si="22"/>
        <v>#NUM!</v>
      </c>
      <c r="J150" s="204" t="e">
        <f t="shared" si="26"/>
        <v>#DIV/0!</v>
      </c>
      <c r="K150" s="204" t="e">
        <f t="shared" si="27"/>
        <v>#DIV/0!</v>
      </c>
      <c r="L150" s="204" t="e">
        <f t="shared" si="28"/>
        <v>#DIV/0!</v>
      </c>
      <c r="M150" s="277" t="e">
        <f t="shared" si="39"/>
        <v>#NUM!</v>
      </c>
      <c r="N150" s="201"/>
      <c r="O150" s="205" t="e">
        <f t="shared" si="40"/>
        <v>#DIV/0!</v>
      </c>
      <c r="Q150" s="201" t="e">
        <f t="shared" si="29"/>
        <v>#DIV/0!</v>
      </c>
      <c r="R150" s="204" t="e">
        <f t="shared" si="30"/>
        <v>#DIV/0!</v>
      </c>
      <c r="S150" s="204" t="e">
        <f t="shared" si="31"/>
        <v>#DIV/0!</v>
      </c>
      <c r="T150" s="204" t="e">
        <f t="shared" si="32"/>
        <v>#DIV/0!</v>
      </c>
      <c r="U150" s="105" t="e">
        <f t="shared" si="33"/>
        <v>#NUM!</v>
      </c>
      <c r="V150" s="187" t="e">
        <f t="shared" si="34"/>
        <v>#NUM!</v>
      </c>
      <c r="W150" s="204" t="e">
        <f t="shared" si="35"/>
        <v>#DIV/0!</v>
      </c>
      <c r="X150" s="204" t="e">
        <f t="shared" si="36"/>
        <v>#DIV/0!</v>
      </c>
      <c r="Y150" s="204" t="e">
        <f t="shared" si="37"/>
        <v>#DIV/0!</v>
      </c>
    </row>
    <row r="151" spans="1:25" x14ac:dyDescent="0.2">
      <c r="A151" s="201">
        <v>0</v>
      </c>
      <c r="B151" s="14">
        <f t="shared" si="41"/>
        <v>0</v>
      </c>
      <c r="C151" s="14" t="e">
        <f t="shared" si="23"/>
        <v>#NUM!</v>
      </c>
      <c r="D151" s="202" t="e">
        <f t="shared" si="42"/>
        <v>#NUM!</v>
      </c>
      <c r="E151" s="203" t="e">
        <f t="shared" si="38"/>
        <v>#DIV/0!</v>
      </c>
      <c r="F151" s="201" t="e">
        <f t="shared" si="24"/>
        <v>#DIV/0!</v>
      </c>
      <c r="G151" s="201"/>
      <c r="H151" s="207">
        <f t="shared" si="25"/>
        <v>0</v>
      </c>
      <c r="I151" s="201" t="e">
        <f t="shared" si="22"/>
        <v>#NUM!</v>
      </c>
      <c r="J151" s="204" t="e">
        <f t="shared" si="26"/>
        <v>#DIV/0!</v>
      </c>
      <c r="K151" s="204" t="e">
        <f t="shared" si="27"/>
        <v>#DIV/0!</v>
      </c>
      <c r="L151" s="204" t="e">
        <f t="shared" si="28"/>
        <v>#DIV/0!</v>
      </c>
      <c r="M151" s="277" t="e">
        <f t="shared" si="39"/>
        <v>#NUM!</v>
      </c>
      <c r="N151" s="201"/>
      <c r="O151" s="205" t="e">
        <f t="shared" si="40"/>
        <v>#DIV/0!</v>
      </c>
      <c r="Q151" s="201" t="e">
        <f t="shared" si="29"/>
        <v>#DIV/0!</v>
      </c>
      <c r="R151" s="204" t="e">
        <f t="shared" si="30"/>
        <v>#DIV/0!</v>
      </c>
      <c r="S151" s="204" t="e">
        <f t="shared" si="31"/>
        <v>#DIV/0!</v>
      </c>
      <c r="T151" s="204" t="e">
        <f t="shared" si="32"/>
        <v>#DIV/0!</v>
      </c>
      <c r="U151" s="105" t="e">
        <f t="shared" si="33"/>
        <v>#NUM!</v>
      </c>
      <c r="V151" s="187" t="e">
        <f t="shared" si="34"/>
        <v>#NUM!</v>
      </c>
      <c r="W151" s="204" t="e">
        <f t="shared" si="35"/>
        <v>#DIV/0!</v>
      </c>
      <c r="X151" s="204" t="e">
        <f t="shared" si="36"/>
        <v>#DIV/0!</v>
      </c>
      <c r="Y151" s="204" t="e">
        <f t="shared" si="37"/>
        <v>#DIV/0!</v>
      </c>
    </row>
    <row r="152" spans="1:25" x14ac:dyDescent="0.2">
      <c r="A152" s="201">
        <v>0</v>
      </c>
      <c r="B152" s="14">
        <f t="shared" si="41"/>
        <v>0</v>
      </c>
      <c r="C152" s="14" t="e">
        <f t="shared" si="23"/>
        <v>#NUM!</v>
      </c>
      <c r="D152" s="202" t="e">
        <f t="shared" si="42"/>
        <v>#NUM!</v>
      </c>
      <c r="E152" s="203" t="e">
        <f t="shared" si="38"/>
        <v>#DIV/0!</v>
      </c>
      <c r="F152" s="201" t="e">
        <f t="shared" si="24"/>
        <v>#DIV/0!</v>
      </c>
      <c r="G152" s="201"/>
      <c r="H152" s="207">
        <f t="shared" si="25"/>
        <v>0</v>
      </c>
      <c r="I152" s="201" t="e">
        <f t="shared" si="22"/>
        <v>#NUM!</v>
      </c>
      <c r="J152" s="204" t="e">
        <f t="shared" si="26"/>
        <v>#DIV/0!</v>
      </c>
      <c r="K152" s="204" t="e">
        <f t="shared" si="27"/>
        <v>#DIV/0!</v>
      </c>
      <c r="L152" s="204" t="e">
        <f t="shared" si="28"/>
        <v>#DIV/0!</v>
      </c>
      <c r="M152" s="277" t="e">
        <f t="shared" si="39"/>
        <v>#NUM!</v>
      </c>
      <c r="N152" s="201"/>
      <c r="O152" s="205" t="e">
        <f t="shared" si="40"/>
        <v>#DIV/0!</v>
      </c>
      <c r="Q152" s="201" t="e">
        <f t="shared" si="29"/>
        <v>#DIV/0!</v>
      </c>
      <c r="R152" s="204" t="e">
        <f t="shared" si="30"/>
        <v>#DIV/0!</v>
      </c>
      <c r="S152" s="204" t="e">
        <f t="shared" si="31"/>
        <v>#DIV/0!</v>
      </c>
      <c r="T152" s="204" t="e">
        <f t="shared" si="32"/>
        <v>#DIV/0!</v>
      </c>
      <c r="U152" s="105" t="e">
        <f t="shared" si="33"/>
        <v>#NUM!</v>
      </c>
      <c r="V152" s="187" t="e">
        <f t="shared" si="34"/>
        <v>#NUM!</v>
      </c>
      <c r="W152" s="204" t="e">
        <f t="shared" si="35"/>
        <v>#DIV/0!</v>
      </c>
      <c r="X152" s="204" t="e">
        <f t="shared" si="36"/>
        <v>#DIV/0!</v>
      </c>
      <c r="Y152" s="204" t="e">
        <f t="shared" si="37"/>
        <v>#DIV/0!</v>
      </c>
    </row>
    <row r="153" spans="1:25" x14ac:dyDescent="0.2">
      <c r="A153" s="201">
        <v>0</v>
      </c>
      <c r="B153" s="14">
        <f t="shared" si="41"/>
        <v>0</v>
      </c>
      <c r="C153" s="14" t="e">
        <f t="shared" si="23"/>
        <v>#NUM!</v>
      </c>
      <c r="D153" s="202" t="e">
        <f t="shared" si="42"/>
        <v>#NUM!</v>
      </c>
      <c r="E153" s="203" t="e">
        <f t="shared" si="38"/>
        <v>#DIV/0!</v>
      </c>
      <c r="F153" s="201" t="e">
        <f t="shared" si="24"/>
        <v>#DIV/0!</v>
      </c>
      <c r="G153" s="201"/>
      <c r="H153" s="207">
        <f t="shared" si="25"/>
        <v>0</v>
      </c>
      <c r="I153" s="201" t="e">
        <f t="shared" si="22"/>
        <v>#NUM!</v>
      </c>
      <c r="J153" s="204" t="e">
        <f t="shared" si="26"/>
        <v>#DIV/0!</v>
      </c>
      <c r="K153" s="204" t="e">
        <f t="shared" si="27"/>
        <v>#DIV/0!</v>
      </c>
      <c r="L153" s="204" t="e">
        <f t="shared" si="28"/>
        <v>#DIV/0!</v>
      </c>
      <c r="M153" s="277" t="e">
        <f t="shared" si="39"/>
        <v>#NUM!</v>
      </c>
      <c r="N153" s="201"/>
      <c r="O153" s="205" t="e">
        <f t="shared" si="40"/>
        <v>#DIV/0!</v>
      </c>
      <c r="Q153" s="201" t="e">
        <f t="shared" si="29"/>
        <v>#DIV/0!</v>
      </c>
      <c r="R153" s="204" t="e">
        <f t="shared" si="30"/>
        <v>#DIV/0!</v>
      </c>
      <c r="S153" s="204" t="e">
        <f t="shared" si="31"/>
        <v>#DIV/0!</v>
      </c>
      <c r="T153" s="204" t="e">
        <f t="shared" si="32"/>
        <v>#DIV/0!</v>
      </c>
      <c r="U153" s="105" t="e">
        <f t="shared" si="33"/>
        <v>#NUM!</v>
      </c>
      <c r="V153" s="187" t="e">
        <f t="shared" si="34"/>
        <v>#NUM!</v>
      </c>
      <c r="W153" s="204" t="e">
        <f t="shared" si="35"/>
        <v>#DIV/0!</v>
      </c>
      <c r="X153" s="204" t="e">
        <f t="shared" si="36"/>
        <v>#DIV/0!</v>
      </c>
      <c r="Y153" s="204" t="e">
        <f t="shared" si="37"/>
        <v>#DIV/0!</v>
      </c>
    </row>
    <row r="154" spans="1:25" x14ac:dyDescent="0.2">
      <c r="A154" s="201">
        <v>0</v>
      </c>
      <c r="B154" s="14">
        <f t="shared" si="41"/>
        <v>0</v>
      </c>
      <c r="C154" s="14" t="e">
        <f t="shared" si="23"/>
        <v>#NUM!</v>
      </c>
      <c r="D154" s="202" t="e">
        <f t="shared" si="42"/>
        <v>#NUM!</v>
      </c>
      <c r="E154" s="203" t="e">
        <f t="shared" si="38"/>
        <v>#DIV/0!</v>
      </c>
      <c r="F154" s="201" t="e">
        <f t="shared" si="24"/>
        <v>#DIV/0!</v>
      </c>
      <c r="G154" s="201"/>
      <c r="H154" s="207">
        <f t="shared" si="25"/>
        <v>0</v>
      </c>
      <c r="I154" s="201" t="e">
        <f t="shared" si="22"/>
        <v>#NUM!</v>
      </c>
      <c r="J154" s="204" t="e">
        <f t="shared" si="26"/>
        <v>#DIV/0!</v>
      </c>
      <c r="K154" s="204" t="e">
        <f t="shared" si="27"/>
        <v>#DIV/0!</v>
      </c>
      <c r="L154" s="204" t="e">
        <f t="shared" si="28"/>
        <v>#DIV/0!</v>
      </c>
      <c r="M154" s="277" t="e">
        <f t="shared" si="39"/>
        <v>#NUM!</v>
      </c>
      <c r="N154" s="201"/>
      <c r="O154" s="205" t="e">
        <f t="shared" si="40"/>
        <v>#DIV/0!</v>
      </c>
      <c r="Q154" s="201" t="e">
        <f t="shared" si="29"/>
        <v>#DIV/0!</v>
      </c>
      <c r="R154" s="204" t="e">
        <f t="shared" si="30"/>
        <v>#DIV/0!</v>
      </c>
      <c r="S154" s="204" t="e">
        <f t="shared" si="31"/>
        <v>#DIV/0!</v>
      </c>
      <c r="T154" s="204" t="e">
        <f t="shared" si="32"/>
        <v>#DIV/0!</v>
      </c>
      <c r="U154" s="105" t="e">
        <f t="shared" si="33"/>
        <v>#NUM!</v>
      </c>
      <c r="V154" s="187" t="e">
        <f t="shared" si="34"/>
        <v>#NUM!</v>
      </c>
      <c r="W154" s="204" t="e">
        <f t="shared" si="35"/>
        <v>#DIV/0!</v>
      </c>
      <c r="X154" s="204" t="e">
        <f t="shared" si="36"/>
        <v>#DIV/0!</v>
      </c>
      <c r="Y154" s="204" t="e">
        <f t="shared" si="37"/>
        <v>#DIV/0!</v>
      </c>
    </row>
    <row r="155" spans="1:25" x14ac:dyDescent="0.2">
      <c r="A155" s="201">
        <v>0</v>
      </c>
      <c r="B155" s="14">
        <f t="shared" si="41"/>
        <v>0</v>
      </c>
      <c r="C155" s="14" t="e">
        <f t="shared" si="23"/>
        <v>#NUM!</v>
      </c>
      <c r="D155" s="202" t="e">
        <f t="shared" si="42"/>
        <v>#NUM!</v>
      </c>
      <c r="E155" s="203" t="e">
        <f t="shared" si="38"/>
        <v>#DIV/0!</v>
      </c>
      <c r="F155" s="201" t="e">
        <f t="shared" si="24"/>
        <v>#DIV/0!</v>
      </c>
      <c r="G155" s="201"/>
      <c r="H155" s="207">
        <f t="shared" si="25"/>
        <v>0</v>
      </c>
      <c r="I155" s="201" t="e">
        <f t="shared" si="22"/>
        <v>#NUM!</v>
      </c>
      <c r="J155" s="204" t="e">
        <f t="shared" si="26"/>
        <v>#DIV/0!</v>
      </c>
      <c r="K155" s="204" t="e">
        <f t="shared" si="27"/>
        <v>#DIV/0!</v>
      </c>
      <c r="L155" s="204" t="e">
        <f t="shared" si="28"/>
        <v>#DIV/0!</v>
      </c>
      <c r="M155" s="277" t="e">
        <f t="shared" si="39"/>
        <v>#NUM!</v>
      </c>
      <c r="N155" s="201"/>
      <c r="O155" s="205" t="e">
        <f t="shared" si="40"/>
        <v>#DIV/0!</v>
      </c>
      <c r="Q155" s="201" t="e">
        <f t="shared" si="29"/>
        <v>#DIV/0!</v>
      </c>
      <c r="R155" s="204" t="e">
        <f t="shared" si="30"/>
        <v>#DIV/0!</v>
      </c>
      <c r="S155" s="204" t="e">
        <f t="shared" si="31"/>
        <v>#DIV/0!</v>
      </c>
      <c r="T155" s="204" t="e">
        <f t="shared" si="32"/>
        <v>#DIV/0!</v>
      </c>
      <c r="U155" s="105" t="e">
        <f t="shared" si="33"/>
        <v>#NUM!</v>
      </c>
      <c r="V155" s="187" t="e">
        <f t="shared" si="34"/>
        <v>#NUM!</v>
      </c>
      <c r="W155" s="204" t="e">
        <f t="shared" si="35"/>
        <v>#DIV/0!</v>
      </c>
      <c r="X155" s="204" t="e">
        <f t="shared" si="36"/>
        <v>#DIV/0!</v>
      </c>
      <c r="Y155" s="204" t="e">
        <f t="shared" si="37"/>
        <v>#DIV/0!</v>
      </c>
    </row>
    <row r="156" spans="1:25" x14ac:dyDescent="0.2">
      <c r="A156" s="201">
        <v>0</v>
      </c>
      <c r="B156" s="14">
        <f t="shared" si="41"/>
        <v>0</v>
      </c>
      <c r="C156" s="14" t="e">
        <f t="shared" si="23"/>
        <v>#NUM!</v>
      </c>
      <c r="D156" s="202" t="e">
        <f t="shared" si="42"/>
        <v>#NUM!</v>
      </c>
      <c r="E156" s="203" t="e">
        <f t="shared" si="38"/>
        <v>#DIV/0!</v>
      </c>
      <c r="F156" s="201" t="e">
        <f t="shared" si="24"/>
        <v>#DIV/0!</v>
      </c>
      <c r="G156" s="201"/>
      <c r="H156" s="207">
        <f t="shared" si="25"/>
        <v>0</v>
      </c>
      <c r="I156" s="201" t="e">
        <f t="shared" si="22"/>
        <v>#NUM!</v>
      </c>
      <c r="J156" s="204" t="e">
        <f t="shared" si="26"/>
        <v>#DIV/0!</v>
      </c>
      <c r="K156" s="204" t="e">
        <f t="shared" si="27"/>
        <v>#DIV/0!</v>
      </c>
      <c r="L156" s="204" t="e">
        <f t="shared" si="28"/>
        <v>#DIV/0!</v>
      </c>
      <c r="M156" s="277" t="e">
        <f t="shared" si="39"/>
        <v>#NUM!</v>
      </c>
      <c r="N156" s="201"/>
      <c r="O156" s="205" t="e">
        <f t="shared" si="40"/>
        <v>#DIV/0!</v>
      </c>
      <c r="Q156" s="201" t="e">
        <f t="shared" si="29"/>
        <v>#DIV/0!</v>
      </c>
      <c r="R156" s="204" t="e">
        <f t="shared" si="30"/>
        <v>#DIV/0!</v>
      </c>
      <c r="S156" s="204" t="e">
        <f t="shared" si="31"/>
        <v>#DIV/0!</v>
      </c>
      <c r="T156" s="204" t="e">
        <f t="shared" si="32"/>
        <v>#DIV/0!</v>
      </c>
      <c r="U156" s="105" t="e">
        <f t="shared" si="33"/>
        <v>#NUM!</v>
      </c>
      <c r="V156" s="187" t="e">
        <f t="shared" si="34"/>
        <v>#NUM!</v>
      </c>
      <c r="W156" s="204" t="e">
        <f t="shared" si="35"/>
        <v>#DIV/0!</v>
      </c>
      <c r="X156" s="204" t="e">
        <f t="shared" si="36"/>
        <v>#DIV/0!</v>
      </c>
      <c r="Y156" s="204" t="e">
        <f t="shared" si="37"/>
        <v>#DIV/0!</v>
      </c>
    </row>
    <row r="157" spans="1:25" x14ac:dyDescent="0.2">
      <c r="A157" s="201">
        <v>0</v>
      </c>
      <c r="B157" s="14">
        <f t="shared" si="41"/>
        <v>0</v>
      </c>
      <c r="C157" s="14" t="e">
        <f t="shared" si="23"/>
        <v>#NUM!</v>
      </c>
      <c r="D157" s="202" t="e">
        <f t="shared" si="42"/>
        <v>#NUM!</v>
      </c>
      <c r="E157" s="203" t="e">
        <f t="shared" si="38"/>
        <v>#DIV/0!</v>
      </c>
      <c r="F157" s="201" t="e">
        <f t="shared" si="24"/>
        <v>#DIV/0!</v>
      </c>
      <c r="G157" s="201"/>
      <c r="H157" s="207">
        <f t="shared" si="25"/>
        <v>0</v>
      </c>
      <c r="I157" s="201" t="e">
        <f t="shared" si="22"/>
        <v>#NUM!</v>
      </c>
      <c r="J157" s="204" t="e">
        <f t="shared" si="26"/>
        <v>#DIV/0!</v>
      </c>
      <c r="K157" s="204" t="e">
        <f t="shared" si="27"/>
        <v>#DIV/0!</v>
      </c>
      <c r="L157" s="204" t="e">
        <f t="shared" si="28"/>
        <v>#DIV/0!</v>
      </c>
      <c r="M157" s="277" t="e">
        <f t="shared" si="39"/>
        <v>#NUM!</v>
      </c>
      <c r="N157" s="201"/>
      <c r="O157" s="205" t="e">
        <f t="shared" si="40"/>
        <v>#DIV/0!</v>
      </c>
      <c r="Q157" s="201" t="e">
        <f t="shared" si="29"/>
        <v>#DIV/0!</v>
      </c>
      <c r="R157" s="204" t="e">
        <f t="shared" si="30"/>
        <v>#DIV/0!</v>
      </c>
      <c r="S157" s="204" t="e">
        <f t="shared" si="31"/>
        <v>#DIV/0!</v>
      </c>
      <c r="T157" s="204" t="e">
        <f t="shared" si="32"/>
        <v>#DIV/0!</v>
      </c>
      <c r="U157" s="105" t="e">
        <f t="shared" si="33"/>
        <v>#NUM!</v>
      </c>
      <c r="V157" s="187" t="e">
        <f t="shared" si="34"/>
        <v>#NUM!</v>
      </c>
      <c r="W157" s="204" t="e">
        <f t="shared" si="35"/>
        <v>#DIV/0!</v>
      </c>
      <c r="X157" s="204" t="e">
        <f t="shared" si="36"/>
        <v>#DIV/0!</v>
      </c>
      <c r="Y157" s="204" t="e">
        <f t="shared" si="37"/>
        <v>#DIV/0!</v>
      </c>
    </row>
    <row r="158" spans="1:25" x14ac:dyDescent="0.2">
      <c r="A158" s="201">
        <v>0</v>
      </c>
      <c r="B158" s="14">
        <f t="shared" si="41"/>
        <v>0</v>
      </c>
      <c r="C158" s="14" t="e">
        <f t="shared" si="23"/>
        <v>#NUM!</v>
      </c>
      <c r="D158" s="202" t="e">
        <f t="shared" si="42"/>
        <v>#NUM!</v>
      </c>
      <c r="E158" s="203" t="e">
        <f t="shared" si="38"/>
        <v>#DIV/0!</v>
      </c>
      <c r="F158" s="201" t="e">
        <f t="shared" si="24"/>
        <v>#DIV/0!</v>
      </c>
      <c r="G158" s="201"/>
      <c r="H158" s="207">
        <f t="shared" si="25"/>
        <v>0</v>
      </c>
      <c r="I158" s="201" t="e">
        <f t="shared" ref="I158:I221" si="43">D158*F158</f>
        <v>#NUM!</v>
      </c>
      <c r="J158" s="204" t="e">
        <f t="shared" si="26"/>
        <v>#DIV/0!</v>
      </c>
      <c r="K158" s="204" t="e">
        <f t="shared" si="27"/>
        <v>#DIV/0!</v>
      </c>
      <c r="L158" s="204" t="e">
        <f t="shared" si="28"/>
        <v>#DIV/0!</v>
      </c>
      <c r="M158" s="277" t="e">
        <f t="shared" si="39"/>
        <v>#NUM!</v>
      </c>
      <c r="N158" s="201"/>
      <c r="O158" s="205" t="e">
        <f t="shared" si="40"/>
        <v>#DIV/0!</v>
      </c>
      <c r="Q158" s="201" t="e">
        <f t="shared" si="29"/>
        <v>#DIV/0!</v>
      </c>
      <c r="R158" s="204" t="e">
        <f t="shared" si="30"/>
        <v>#DIV/0!</v>
      </c>
      <c r="S158" s="204" t="e">
        <f t="shared" si="31"/>
        <v>#DIV/0!</v>
      </c>
      <c r="T158" s="204" t="e">
        <f t="shared" si="32"/>
        <v>#DIV/0!</v>
      </c>
      <c r="U158" s="105" t="e">
        <f t="shared" si="33"/>
        <v>#NUM!</v>
      </c>
      <c r="V158" s="187" t="e">
        <f t="shared" si="34"/>
        <v>#NUM!</v>
      </c>
      <c r="W158" s="204" t="e">
        <f t="shared" si="35"/>
        <v>#DIV/0!</v>
      </c>
      <c r="X158" s="204" t="e">
        <f t="shared" si="36"/>
        <v>#DIV/0!</v>
      </c>
      <c r="Y158" s="204" t="e">
        <f t="shared" si="37"/>
        <v>#DIV/0!</v>
      </c>
    </row>
    <row r="159" spans="1:25" x14ac:dyDescent="0.2">
      <c r="A159" s="201">
        <v>0</v>
      </c>
      <c r="B159" s="14">
        <f t="shared" si="41"/>
        <v>0</v>
      </c>
      <c r="C159" s="14" t="e">
        <f t="shared" ref="C159:C222" si="44">IF(A159=0,IF(B159&gt;0,IF(C158&lt;10,10,-LOG(0,2)),-LOG(0,2)),-LOG(A159,2))</f>
        <v>#NUM!</v>
      </c>
      <c r="D159" s="202" t="e">
        <f t="shared" si="42"/>
        <v>#NUM!</v>
      </c>
      <c r="E159" s="203" t="e">
        <f t="shared" si="38"/>
        <v>#DIV/0!</v>
      </c>
      <c r="F159" s="201" t="e">
        <f t="shared" ref="F159:F222" si="45">(G159*100)/$A$10</f>
        <v>#DIV/0!</v>
      </c>
      <c r="G159" s="201"/>
      <c r="H159" s="207">
        <f t="shared" ref="H159:H222" si="46">A159*1000</f>
        <v>0</v>
      </c>
      <c r="I159" s="201" t="e">
        <f t="shared" si="43"/>
        <v>#NUM!</v>
      </c>
      <c r="J159" s="204" t="e">
        <f t="shared" ref="J159:J222" si="47">(F159)*(D159-$B$4)^2</f>
        <v>#DIV/0!</v>
      </c>
      <c r="K159" s="204" t="e">
        <f t="shared" ref="K159:K222" si="48">(F159)*(D159-$B$4)^3</f>
        <v>#DIV/0!</v>
      </c>
      <c r="L159" s="204" t="e">
        <f t="shared" ref="L159:L222" si="49">(F159)*(D159-$B$4)^4</f>
        <v>#DIV/0!</v>
      </c>
      <c r="M159" s="277" t="e">
        <f t="shared" si="39"/>
        <v>#NUM!</v>
      </c>
      <c r="N159" s="201"/>
      <c r="O159" s="205" t="e">
        <f t="shared" si="40"/>
        <v>#DIV/0!</v>
      </c>
      <c r="Q159" s="201" t="e">
        <f t="shared" ref="Q159:Q222" si="50">(B159*1000)*F159</f>
        <v>#DIV/0!</v>
      </c>
      <c r="R159" s="204" t="e">
        <f t="shared" ref="R159:R222" si="51">(F159)*((B159*1000)-$B$15)^2</f>
        <v>#DIV/0!</v>
      </c>
      <c r="S159" s="204" t="e">
        <f t="shared" ref="S159:S222" si="52">(F159)*((B159*1000)-$B$15)^3</f>
        <v>#DIV/0!</v>
      </c>
      <c r="T159" s="204" t="e">
        <f t="shared" ref="T159:T222" si="53">(F159)*((B159*1000)-$B$15)^4</f>
        <v>#DIV/0!</v>
      </c>
      <c r="U159" s="105" t="e">
        <f t="shared" ref="U159:U222" si="54">LOG(((2^(-D159))*1000),10)</f>
        <v>#NUM!</v>
      </c>
      <c r="V159" s="187" t="e">
        <f t="shared" ref="V159:V222" si="55">U159*F159</f>
        <v>#NUM!</v>
      </c>
      <c r="W159" s="204" t="e">
        <f t="shared" ref="W159:W222" si="56">(F159)*(U159-LOG($E$15))^2</f>
        <v>#DIV/0!</v>
      </c>
      <c r="X159" s="204" t="e">
        <f t="shared" ref="X159:X222" si="57">(F159)*(U159-LOG($E$15))^3</f>
        <v>#DIV/0!</v>
      </c>
      <c r="Y159" s="204" t="e">
        <f t="shared" ref="Y159:Y222" si="58">(F159)*(U159-LOG($E$15))^4</f>
        <v>#DIV/0!</v>
      </c>
    </row>
    <row r="160" spans="1:25" x14ac:dyDescent="0.2">
      <c r="A160" s="201">
        <v>0</v>
      </c>
      <c r="B160" s="14">
        <f t="shared" si="41"/>
        <v>0</v>
      </c>
      <c r="C160" s="14" t="e">
        <f t="shared" si="44"/>
        <v>#NUM!</v>
      </c>
      <c r="D160" s="202" t="e">
        <f t="shared" si="42"/>
        <v>#NUM!</v>
      </c>
      <c r="E160" s="203" t="e">
        <f t="shared" ref="E160:E223" si="59">F160+E159</f>
        <v>#DIV/0!</v>
      </c>
      <c r="F160" s="201" t="e">
        <f t="shared" si="45"/>
        <v>#DIV/0!</v>
      </c>
      <c r="G160" s="201"/>
      <c r="H160" s="207">
        <f t="shared" si="46"/>
        <v>0</v>
      </c>
      <c r="I160" s="201" t="e">
        <f t="shared" si="43"/>
        <v>#NUM!</v>
      </c>
      <c r="J160" s="204" t="e">
        <f t="shared" si="47"/>
        <v>#DIV/0!</v>
      </c>
      <c r="K160" s="204" t="e">
        <f t="shared" si="48"/>
        <v>#DIV/0!</v>
      </c>
      <c r="L160" s="204" t="e">
        <f t="shared" si="49"/>
        <v>#DIV/0!</v>
      </c>
      <c r="M160" s="277" t="e">
        <f t="shared" ref="M160:M223" si="60">((2^(-D160))*1000)</f>
        <v>#NUM!</v>
      </c>
      <c r="N160" s="201"/>
      <c r="O160" s="205" t="e">
        <f t="shared" ref="O160:O223" si="61">(N160*100)/$A$13</f>
        <v>#DIV/0!</v>
      </c>
      <c r="Q160" s="201" t="e">
        <f t="shared" si="50"/>
        <v>#DIV/0!</v>
      </c>
      <c r="R160" s="204" t="e">
        <f t="shared" si="51"/>
        <v>#DIV/0!</v>
      </c>
      <c r="S160" s="204" t="e">
        <f t="shared" si="52"/>
        <v>#DIV/0!</v>
      </c>
      <c r="T160" s="204" t="e">
        <f t="shared" si="53"/>
        <v>#DIV/0!</v>
      </c>
      <c r="U160" s="105" t="e">
        <f t="shared" si="54"/>
        <v>#NUM!</v>
      </c>
      <c r="V160" s="187" t="e">
        <f t="shared" si="55"/>
        <v>#NUM!</v>
      </c>
      <c r="W160" s="204" t="e">
        <f t="shared" si="56"/>
        <v>#DIV/0!</v>
      </c>
      <c r="X160" s="204" t="e">
        <f t="shared" si="57"/>
        <v>#DIV/0!</v>
      </c>
      <c r="Y160" s="204" t="e">
        <f t="shared" si="58"/>
        <v>#DIV/0!</v>
      </c>
    </row>
    <row r="161" spans="1:25" x14ac:dyDescent="0.2">
      <c r="A161" s="201">
        <v>0</v>
      </c>
      <c r="B161" s="14">
        <f t="shared" ref="B161:B224" si="62">IF(A161=0,IF(A160&gt;0,IF(B160&gt;0.001,((A160+(2^(-10)))/2),0),0),(A160+A161)/2)</f>
        <v>0</v>
      </c>
      <c r="C161" s="14" t="e">
        <f t="shared" si="44"/>
        <v>#NUM!</v>
      </c>
      <c r="D161" s="202" t="e">
        <f t="shared" si="42"/>
        <v>#NUM!</v>
      </c>
      <c r="E161" s="203" t="e">
        <f t="shared" si="59"/>
        <v>#DIV/0!</v>
      </c>
      <c r="F161" s="201" t="e">
        <f t="shared" si="45"/>
        <v>#DIV/0!</v>
      </c>
      <c r="G161" s="201"/>
      <c r="H161" s="207">
        <f t="shared" si="46"/>
        <v>0</v>
      </c>
      <c r="I161" s="201" t="e">
        <f t="shared" si="43"/>
        <v>#NUM!</v>
      </c>
      <c r="J161" s="204" t="e">
        <f t="shared" si="47"/>
        <v>#DIV/0!</v>
      </c>
      <c r="K161" s="204" t="e">
        <f t="shared" si="48"/>
        <v>#DIV/0!</v>
      </c>
      <c r="L161" s="204" t="e">
        <f t="shared" si="49"/>
        <v>#DIV/0!</v>
      </c>
      <c r="M161" s="277" t="e">
        <f t="shared" si="60"/>
        <v>#NUM!</v>
      </c>
      <c r="N161" s="201"/>
      <c r="O161" s="205" t="e">
        <f t="shared" si="61"/>
        <v>#DIV/0!</v>
      </c>
      <c r="Q161" s="201" t="e">
        <f t="shared" si="50"/>
        <v>#DIV/0!</v>
      </c>
      <c r="R161" s="204" t="e">
        <f t="shared" si="51"/>
        <v>#DIV/0!</v>
      </c>
      <c r="S161" s="204" t="e">
        <f t="shared" si="52"/>
        <v>#DIV/0!</v>
      </c>
      <c r="T161" s="204" t="e">
        <f t="shared" si="53"/>
        <v>#DIV/0!</v>
      </c>
      <c r="U161" s="105" t="e">
        <f t="shared" si="54"/>
        <v>#NUM!</v>
      </c>
      <c r="V161" s="187" t="e">
        <f t="shared" si="55"/>
        <v>#NUM!</v>
      </c>
      <c r="W161" s="204" t="e">
        <f t="shared" si="56"/>
        <v>#DIV/0!</v>
      </c>
      <c r="X161" s="204" t="e">
        <f t="shared" si="57"/>
        <v>#DIV/0!</v>
      </c>
      <c r="Y161" s="204" t="e">
        <f t="shared" si="58"/>
        <v>#DIV/0!</v>
      </c>
    </row>
    <row r="162" spans="1:25" x14ac:dyDescent="0.2">
      <c r="A162" s="201">
        <v>0</v>
      </c>
      <c r="B162" s="14">
        <f t="shared" si="62"/>
        <v>0</v>
      </c>
      <c r="C162" s="14" t="e">
        <f t="shared" si="44"/>
        <v>#NUM!</v>
      </c>
      <c r="D162" s="202" t="e">
        <f t="shared" si="42"/>
        <v>#NUM!</v>
      </c>
      <c r="E162" s="203" t="e">
        <f t="shared" si="59"/>
        <v>#DIV/0!</v>
      </c>
      <c r="F162" s="201" t="e">
        <f t="shared" si="45"/>
        <v>#DIV/0!</v>
      </c>
      <c r="G162" s="201"/>
      <c r="H162" s="207">
        <f t="shared" si="46"/>
        <v>0</v>
      </c>
      <c r="I162" s="201" t="e">
        <f t="shared" si="43"/>
        <v>#NUM!</v>
      </c>
      <c r="J162" s="204" t="e">
        <f t="shared" si="47"/>
        <v>#DIV/0!</v>
      </c>
      <c r="K162" s="204" t="e">
        <f t="shared" si="48"/>
        <v>#DIV/0!</v>
      </c>
      <c r="L162" s="204" t="e">
        <f t="shared" si="49"/>
        <v>#DIV/0!</v>
      </c>
      <c r="M162" s="277" t="e">
        <f t="shared" si="60"/>
        <v>#NUM!</v>
      </c>
      <c r="N162" s="201"/>
      <c r="O162" s="205" t="e">
        <f t="shared" si="61"/>
        <v>#DIV/0!</v>
      </c>
      <c r="Q162" s="201" t="e">
        <f t="shared" si="50"/>
        <v>#DIV/0!</v>
      </c>
      <c r="R162" s="204" t="e">
        <f t="shared" si="51"/>
        <v>#DIV/0!</v>
      </c>
      <c r="S162" s="204" t="e">
        <f t="shared" si="52"/>
        <v>#DIV/0!</v>
      </c>
      <c r="T162" s="204" t="e">
        <f t="shared" si="53"/>
        <v>#DIV/0!</v>
      </c>
      <c r="U162" s="105" t="e">
        <f t="shared" si="54"/>
        <v>#NUM!</v>
      </c>
      <c r="V162" s="187" t="e">
        <f t="shared" si="55"/>
        <v>#NUM!</v>
      </c>
      <c r="W162" s="204" t="e">
        <f t="shared" si="56"/>
        <v>#DIV/0!</v>
      </c>
      <c r="X162" s="204" t="e">
        <f t="shared" si="57"/>
        <v>#DIV/0!</v>
      </c>
      <c r="Y162" s="204" t="e">
        <f t="shared" si="58"/>
        <v>#DIV/0!</v>
      </c>
    </row>
    <row r="163" spans="1:25" x14ac:dyDescent="0.2">
      <c r="A163" s="201">
        <v>0</v>
      </c>
      <c r="B163" s="14">
        <f t="shared" si="62"/>
        <v>0</v>
      </c>
      <c r="C163" s="14" t="e">
        <f t="shared" si="44"/>
        <v>#NUM!</v>
      </c>
      <c r="D163" s="202" t="e">
        <f t="shared" si="42"/>
        <v>#NUM!</v>
      </c>
      <c r="E163" s="203" t="e">
        <f t="shared" si="59"/>
        <v>#DIV/0!</v>
      </c>
      <c r="F163" s="201" t="e">
        <f t="shared" si="45"/>
        <v>#DIV/0!</v>
      </c>
      <c r="G163" s="201"/>
      <c r="H163" s="207">
        <f t="shared" si="46"/>
        <v>0</v>
      </c>
      <c r="I163" s="201" t="e">
        <f t="shared" si="43"/>
        <v>#NUM!</v>
      </c>
      <c r="J163" s="204" t="e">
        <f t="shared" si="47"/>
        <v>#DIV/0!</v>
      </c>
      <c r="K163" s="204" t="e">
        <f t="shared" si="48"/>
        <v>#DIV/0!</v>
      </c>
      <c r="L163" s="204" t="e">
        <f t="shared" si="49"/>
        <v>#DIV/0!</v>
      </c>
      <c r="M163" s="277" t="e">
        <f t="shared" si="60"/>
        <v>#NUM!</v>
      </c>
      <c r="N163" s="201"/>
      <c r="O163" s="205" t="e">
        <f t="shared" si="61"/>
        <v>#DIV/0!</v>
      </c>
      <c r="Q163" s="201" t="e">
        <f t="shared" si="50"/>
        <v>#DIV/0!</v>
      </c>
      <c r="R163" s="204" t="e">
        <f t="shared" si="51"/>
        <v>#DIV/0!</v>
      </c>
      <c r="S163" s="204" t="e">
        <f t="shared" si="52"/>
        <v>#DIV/0!</v>
      </c>
      <c r="T163" s="204" t="e">
        <f t="shared" si="53"/>
        <v>#DIV/0!</v>
      </c>
      <c r="U163" s="105" t="e">
        <f t="shared" si="54"/>
        <v>#NUM!</v>
      </c>
      <c r="V163" s="187" t="e">
        <f t="shared" si="55"/>
        <v>#NUM!</v>
      </c>
      <c r="W163" s="204" t="e">
        <f t="shared" si="56"/>
        <v>#DIV/0!</v>
      </c>
      <c r="X163" s="204" t="e">
        <f t="shared" si="57"/>
        <v>#DIV/0!</v>
      </c>
      <c r="Y163" s="204" t="e">
        <f t="shared" si="58"/>
        <v>#DIV/0!</v>
      </c>
    </row>
    <row r="164" spans="1:25" x14ac:dyDescent="0.2">
      <c r="A164" s="201">
        <v>0</v>
      </c>
      <c r="B164" s="14">
        <f t="shared" si="62"/>
        <v>0</v>
      </c>
      <c r="C164" s="14" t="e">
        <f t="shared" si="44"/>
        <v>#NUM!</v>
      </c>
      <c r="D164" s="202" t="e">
        <f t="shared" si="42"/>
        <v>#NUM!</v>
      </c>
      <c r="E164" s="203" t="e">
        <f t="shared" si="59"/>
        <v>#DIV/0!</v>
      </c>
      <c r="F164" s="201" t="e">
        <f t="shared" si="45"/>
        <v>#DIV/0!</v>
      </c>
      <c r="G164" s="201"/>
      <c r="H164" s="207">
        <f t="shared" si="46"/>
        <v>0</v>
      </c>
      <c r="I164" s="201" t="e">
        <f t="shared" si="43"/>
        <v>#NUM!</v>
      </c>
      <c r="J164" s="204" t="e">
        <f t="shared" si="47"/>
        <v>#DIV/0!</v>
      </c>
      <c r="K164" s="204" t="e">
        <f t="shared" si="48"/>
        <v>#DIV/0!</v>
      </c>
      <c r="L164" s="204" t="e">
        <f t="shared" si="49"/>
        <v>#DIV/0!</v>
      </c>
      <c r="M164" s="277" t="e">
        <f t="shared" si="60"/>
        <v>#NUM!</v>
      </c>
      <c r="N164" s="201"/>
      <c r="O164" s="205" t="e">
        <f t="shared" si="61"/>
        <v>#DIV/0!</v>
      </c>
      <c r="Q164" s="201" t="e">
        <f t="shared" si="50"/>
        <v>#DIV/0!</v>
      </c>
      <c r="R164" s="204" t="e">
        <f t="shared" si="51"/>
        <v>#DIV/0!</v>
      </c>
      <c r="S164" s="204" t="e">
        <f t="shared" si="52"/>
        <v>#DIV/0!</v>
      </c>
      <c r="T164" s="204" t="e">
        <f t="shared" si="53"/>
        <v>#DIV/0!</v>
      </c>
      <c r="U164" s="105" t="e">
        <f t="shared" si="54"/>
        <v>#NUM!</v>
      </c>
      <c r="V164" s="187" t="e">
        <f t="shared" si="55"/>
        <v>#NUM!</v>
      </c>
      <c r="W164" s="204" t="e">
        <f t="shared" si="56"/>
        <v>#DIV/0!</v>
      </c>
      <c r="X164" s="204" t="e">
        <f t="shared" si="57"/>
        <v>#DIV/0!</v>
      </c>
      <c r="Y164" s="204" t="e">
        <f t="shared" si="58"/>
        <v>#DIV/0!</v>
      </c>
    </row>
    <row r="165" spans="1:25" x14ac:dyDescent="0.2">
      <c r="A165" s="201">
        <v>0</v>
      </c>
      <c r="B165" s="14">
        <f t="shared" si="62"/>
        <v>0</v>
      </c>
      <c r="C165" s="14" t="e">
        <f t="shared" si="44"/>
        <v>#NUM!</v>
      </c>
      <c r="D165" s="202" t="e">
        <f t="shared" si="42"/>
        <v>#NUM!</v>
      </c>
      <c r="E165" s="203" t="e">
        <f t="shared" si="59"/>
        <v>#DIV/0!</v>
      </c>
      <c r="F165" s="201" t="e">
        <f t="shared" si="45"/>
        <v>#DIV/0!</v>
      </c>
      <c r="G165" s="201"/>
      <c r="H165" s="207">
        <f t="shared" si="46"/>
        <v>0</v>
      </c>
      <c r="I165" s="201" t="e">
        <f t="shared" si="43"/>
        <v>#NUM!</v>
      </c>
      <c r="J165" s="204" t="e">
        <f t="shared" si="47"/>
        <v>#DIV/0!</v>
      </c>
      <c r="K165" s="204" t="e">
        <f t="shared" si="48"/>
        <v>#DIV/0!</v>
      </c>
      <c r="L165" s="204" t="e">
        <f t="shared" si="49"/>
        <v>#DIV/0!</v>
      </c>
      <c r="M165" s="277" t="e">
        <f t="shared" si="60"/>
        <v>#NUM!</v>
      </c>
      <c r="N165" s="201"/>
      <c r="O165" s="205" t="e">
        <f t="shared" si="61"/>
        <v>#DIV/0!</v>
      </c>
      <c r="Q165" s="201" t="e">
        <f t="shared" si="50"/>
        <v>#DIV/0!</v>
      </c>
      <c r="R165" s="204" t="e">
        <f t="shared" si="51"/>
        <v>#DIV/0!</v>
      </c>
      <c r="S165" s="204" t="e">
        <f t="shared" si="52"/>
        <v>#DIV/0!</v>
      </c>
      <c r="T165" s="204" t="e">
        <f t="shared" si="53"/>
        <v>#DIV/0!</v>
      </c>
      <c r="U165" s="105" t="e">
        <f t="shared" si="54"/>
        <v>#NUM!</v>
      </c>
      <c r="V165" s="187" t="e">
        <f t="shared" si="55"/>
        <v>#NUM!</v>
      </c>
      <c r="W165" s="204" t="e">
        <f t="shared" si="56"/>
        <v>#DIV/0!</v>
      </c>
      <c r="X165" s="204" t="e">
        <f t="shared" si="57"/>
        <v>#DIV/0!</v>
      </c>
      <c r="Y165" s="204" t="e">
        <f t="shared" si="58"/>
        <v>#DIV/0!</v>
      </c>
    </row>
    <row r="166" spans="1:25" x14ac:dyDescent="0.2">
      <c r="A166" s="201">
        <v>0</v>
      </c>
      <c r="B166" s="14">
        <f t="shared" si="62"/>
        <v>0</v>
      </c>
      <c r="C166" s="14" t="e">
        <f t="shared" si="44"/>
        <v>#NUM!</v>
      </c>
      <c r="D166" s="202" t="e">
        <f t="shared" si="42"/>
        <v>#NUM!</v>
      </c>
      <c r="E166" s="203" t="e">
        <f t="shared" si="59"/>
        <v>#DIV/0!</v>
      </c>
      <c r="F166" s="201" t="e">
        <f t="shared" si="45"/>
        <v>#DIV/0!</v>
      </c>
      <c r="G166" s="201"/>
      <c r="H166" s="207">
        <f t="shared" si="46"/>
        <v>0</v>
      </c>
      <c r="I166" s="201" t="e">
        <f t="shared" si="43"/>
        <v>#NUM!</v>
      </c>
      <c r="J166" s="204" t="e">
        <f t="shared" si="47"/>
        <v>#DIV/0!</v>
      </c>
      <c r="K166" s="204" t="e">
        <f t="shared" si="48"/>
        <v>#DIV/0!</v>
      </c>
      <c r="L166" s="204" t="e">
        <f t="shared" si="49"/>
        <v>#DIV/0!</v>
      </c>
      <c r="M166" s="277" t="e">
        <f t="shared" si="60"/>
        <v>#NUM!</v>
      </c>
      <c r="N166" s="201"/>
      <c r="O166" s="205" t="e">
        <f t="shared" si="61"/>
        <v>#DIV/0!</v>
      </c>
      <c r="Q166" s="201" t="e">
        <f t="shared" si="50"/>
        <v>#DIV/0!</v>
      </c>
      <c r="R166" s="204" t="e">
        <f t="shared" si="51"/>
        <v>#DIV/0!</v>
      </c>
      <c r="S166" s="204" t="e">
        <f t="shared" si="52"/>
        <v>#DIV/0!</v>
      </c>
      <c r="T166" s="204" t="e">
        <f t="shared" si="53"/>
        <v>#DIV/0!</v>
      </c>
      <c r="U166" s="105" t="e">
        <f t="shared" si="54"/>
        <v>#NUM!</v>
      </c>
      <c r="V166" s="187" t="e">
        <f t="shared" si="55"/>
        <v>#NUM!</v>
      </c>
      <c r="W166" s="204" t="e">
        <f t="shared" si="56"/>
        <v>#DIV/0!</v>
      </c>
      <c r="X166" s="204" t="e">
        <f t="shared" si="57"/>
        <v>#DIV/0!</v>
      </c>
      <c r="Y166" s="204" t="e">
        <f t="shared" si="58"/>
        <v>#DIV/0!</v>
      </c>
    </row>
    <row r="167" spans="1:25" x14ac:dyDescent="0.2">
      <c r="A167" s="201">
        <v>0</v>
      </c>
      <c r="B167" s="14">
        <f t="shared" si="62"/>
        <v>0</v>
      </c>
      <c r="C167" s="14" t="e">
        <f t="shared" si="44"/>
        <v>#NUM!</v>
      </c>
      <c r="D167" s="202" t="e">
        <f t="shared" si="42"/>
        <v>#NUM!</v>
      </c>
      <c r="E167" s="203" t="e">
        <f t="shared" si="59"/>
        <v>#DIV/0!</v>
      </c>
      <c r="F167" s="201" t="e">
        <f t="shared" si="45"/>
        <v>#DIV/0!</v>
      </c>
      <c r="G167" s="201"/>
      <c r="H167" s="207">
        <f t="shared" si="46"/>
        <v>0</v>
      </c>
      <c r="I167" s="201" t="e">
        <f t="shared" si="43"/>
        <v>#NUM!</v>
      </c>
      <c r="J167" s="204" t="e">
        <f t="shared" si="47"/>
        <v>#DIV/0!</v>
      </c>
      <c r="K167" s="204" t="e">
        <f t="shared" si="48"/>
        <v>#DIV/0!</v>
      </c>
      <c r="L167" s="204" t="e">
        <f t="shared" si="49"/>
        <v>#DIV/0!</v>
      </c>
      <c r="M167" s="277" t="e">
        <f t="shared" si="60"/>
        <v>#NUM!</v>
      </c>
      <c r="N167" s="201"/>
      <c r="O167" s="205" t="e">
        <f t="shared" si="61"/>
        <v>#DIV/0!</v>
      </c>
      <c r="Q167" s="201" t="e">
        <f t="shared" si="50"/>
        <v>#DIV/0!</v>
      </c>
      <c r="R167" s="204" t="e">
        <f t="shared" si="51"/>
        <v>#DIV/0!</v>
      </c>
      <c r="S167" s="204" t="e">
        <f t="shared" si="52"/>
        <v>#DIV/0!</v>
      </c>
      <c r="T167" s="204" t="e">
        <f t="shared" si="53"/>
        <v>#DIV/0!</v>
      </c>
      <c r="U167" s="105" t="e">
        <f t="shared" si="54"/>
        <v>#NUM!</v>
      </c>
      <c r="V167" s="187" t="e">
        <f t="shared" si="55"/>
        <v>#NUM!</v>
      </c>
      <c r="W167" s="204" t="e">
        <f t="shared" si="56"/>
        <v>#DIV/0!</v>
      </c>
      <c r="X167" s="204" t="e">
        <f t="shared" si="57"/>
        <v>#DIV/0!</v>
      </c>
      <c r="Y167" s="204" t="e">
        <f t="shared" si="58"/>
        <v>#DIV/0!</v>
      </c>
    </row>
    <row r="168" spans="1:25" x14ac:dyDescent="0.2">
      <c r="A168" s="201">
        <v>0</v>
      </c>
      <c r="B168" s="14">
        <f t="shared" si="62"/>
        <v>0</v>
      </c>
      <c r="C168" s="14" t="e">
        <f t="shared" si="44"/>
        <v>#NUM!</v>
      </c>
      <c r="D168" s="202" t="e">
        <f t="shared" si="42"/>
        <v>#NUM!</v>
      </c>
      <c r="E168" s="203" t="e">
        <f t="shared" si="59"/>
        <v>#DIV/0!</v>
      </c>
      <c r="F168" s="201" t="e">
        <f t="shared" si="45"/>
        <v>#DIV/0!</v>
      </c>
      <c r="G168" s="201"/>
      <c r="H168" s="207">
        <f t="shared" si="46"/>
        <v>0</v>
      </c>
      <c r="I168" s="201" t="e">
        <f t="shared" si="43"/>
        <v>#NUM!</v>
      </c>
      <c r="J168" s="204" t="e">
        <f t="shared" si="47"/>
        <v>#DIV/0!</v>
      </c>
      <c r="K168" s="204" t="e">
        <f t="shared" si="48"/>
        <v>#DIV/0!</v>
      </c>
      <c r="L168" s="204" t="e">
        <f t="shared" si="49"/>
        <v>#DIV/0!</v>
      </c>
      <c r="M168" s="277" t="e">
        <f t="shared" si="60"/>
        <v>#NUM!</v>
      </c>
      <c r="N168" s="201"/>
      <c r="O168" s="205" t="e">
        <f t="shared" si="61"/>
        <v>#DIV/0!</v>
      </c>
      <c r="Q168" s="201" t="e">
        <f t="shared" si="50"/>
        <v>#DIV/0!</v>
      </c>
      <c r="R168" s="204" t="e">
        <f t="shared" si="51"/>
        <v>#DIV/0!</v>
      </c>
      <c r="S168" s="204" t="e">
        <f t="shared" si="52"/>
        <v>#DIV/0!</v>
      </c>
      <c r="T168" s="204" t="e">
        <f t="shared" si="53"/>
        <v>#DIV/0!</v>
      </c>
      <c r="U168" s="105" t="e">
        <f t="shared" si="54"/>
        <v>#NUM!</v>
      </c>
      <c r="V168" s="187" t="e">
        <f t="shared" si="55"/>
        <v>#NUM!</v>
      </c>
      <c r="W168" s="204" t="e">
        <f t="shared" si="56"/>
        <v>#DIV/0!</v>
      </c>
      <c r="X168" s="204" t="e">
        <f t="shared" si="57"/>
        <v>#DIV/0!</v>
      </c>
      <c r="Y168" s="204" t="e">
        <f t="shared" si="58"/>
        <v>#DIV/0!</v>
      </c>
    </row>
    <row r="169" spans="1:25" x14ac:dyDescent="0.2">
      <c r="A169" s="201">
        <v>0</v>
      </c>
      <c r="B169" s="14">
        <f t="shared" si="62"/>
        <v>0</v>
      </c>
      <c r="C169" s="14" t="e">
        <f t="shared" si="44"/>
        <v>#NUM!</v>
      </c>
      <c r="D169" s="202" t="e">
        <f t="shared" si="42"/>
        <v>#NUM!</v>
      </c>
      <c r="E169" s="203" t="e">
        <f t="shared" si="59"/>
        <v>#DIV/0!</v>
      </c>
      <c r="F169" s="201" t="e">
        <f t="shared" si="45"/>
        <v>#DIV/0!</v>
      </c>
      <c r="G169" s="201"/>
      <c r="H169" s="207">
        <f t="shared" si="46"/>
        <v>0</v>
      </c>
      <c r="I169" s="201" t="e">
        <f t="shared" si="43"/>
        <v>#NUM!</v>
      </c>
      <c r="J169" s="204" t="e">
        <f t="shared" si="47"/>
        <v>#DIV/0!</v>
      </c>
      <c r="K169" s="204" t="e">
        <f t="shared" si="48"/>
        <v>#DIV/0!</v>
      </c>
      <c r="L169" s="204" t="e">
        <f t="shared" si="49"/>
        <v>#DIV/0!</v>
      </c>
      <c r="M169" s="277" t="e">
        <f t="shared" si="60"/>
        <v>#NUM!</v>
      </c>
      <c r="N169" s="201"/>
      <c r="O169" s="205" t="e">
        <f t="shared" si="61"/>
        <v>#DIV/0!</v>
      </c>
      <c r="Q169" s="201" t="e">
        <f t="shared" si="50"/>
        <v>#DIV/0!</v>
      </c>
      <c r="R169" s="204" t="e">
        <f t="shared" si="51"/>
        <v>#DIV/0!</v>
      </c>
      <c r="S169" s="204" t="e">
        <f t="shared" si="52"/>
        <v>#DIV/0!</v>
      </c>
      <c r="T169" s="204" t="e">
        <f t="shared" si="53"/>
        <v>#DIV/0!</v>
      </c>
      <c r="U169" s="105" t="e">
        <f t="shared" si="54"/>
        <v>#NUM!</v>
      </c>
      <c r="V169" s="187" t="e">
        <f t="shared" si="55"/>
        <v>#NUM!</v>
      </c>
      <c r="W169" s="204" t="e">
        <f t="shared" si="56"/>
        <v>#DIV/0!</v>
      </c>
      <c r="X169" s="204" t="e">
        <f t="shared" si="57"/>
        <v>#DIV/0!</v>
      </c>
      <c r="Y169" s="204" t="e">
        <f t="shared" si="58"/>
        <v>#DIV/0!</v>
      </c>
    </row>
    <row r="170" spans="1:25" x14ac:dyDescent="0.2">
      <c r="A170" s="201">
        <v>0</v>
      </c>
      <c r="B170" s="14">
        <f t="shared" si="62"/>
        <v>0</v>
      </c>
      <c r="C170" s="14" t="e">
        <f t="shared" si="44"/>
        <v>#NUM!</v>
      </c>
      <c r="D170" s="202" t="e">
        <f t="shared" si="42"/>
        <v>#NUM!</v>
      </c>
      <c r="E170" s="203" t="e">
        <f t="shared" si="59"/>
        <v>#DIV/0!</v>
      </c>
      <c r="F170" s="201" t="e">
        <f t="shared" si="45"/>
        <v>#DIV/0!</v>
      </c>
      <c r="G170" s="201"/>
      <c r="H170" s="207">
        <f t="shared" si="46"/>
        <v>0</v>
      </c>
      <c r="I170" s="201" t="e">
        <f t="shared" si="43"/>
        <v>#NUM!</v>
      </c>
      <c r="J170" s="204" t="e">
        <f t="shared" si="47"/>
        <v>#DIV/0!</v>
      </c>
      <c r="K170" s="204" t="e">
        <f t="shared" si="48"/>
        <v>#DIV/0!</v>
      </c>
      <c r="L170" s="204" t="e">
        <f t="shared" si="49"/>
        <v>#DIV/0!</v>
      </c>
      <c r="M170" s="277" t="e">
        <f t="shared" si="60"/>
        <v>#NUM!</v>
      </c>
      <c r="N170" s="201"/>
      <c r="O170" s="205" t="e">
        <f t="shared" si="61"/>
        <v>#DIV/0!</v>
      </c>
      <c r="Q170" s="201" t="e">
        <f t="shared" si="50"/>
        <v>#DIV/0!</v>
      </c>
      <c r="R170" s="204" t="e">
        <f t="shared" si="51"/>
        <v>#DIV/0!</v>
      </c>
      <c r="S170" s="204" t="e">
        <f t="shared" si="52"/>
        <v>#DIV/0!</v>
      </c>
      <c r="T170" s="204" t="e">
        <f t="shared" si="53"/>
        <v>#DIV/0!</v>
      </c>
      <c r="U170" s="105" t="e">
        <f t="shared" si="54"/>
        <v>#NUM!</v>
      </c>
      <c r="V170" s="187" t="e">
        <f t="shared" si="55"/>
        <v>#NUM!</v>
      </c>
      <c r="W170" s="204" t="e">
        <f t="shared" si="56"/>
        <v>#DIV/0!</v>
      </c>
      <c r="X170" s="204" t="e">
        <f t="shared" si="57"/>
        <v>#DIV/0!</v>
      </c>
      <c r="Y170" s="204" t="e">
        <f t="shared" si="58"/>
        <v>#DIV/0!</v>
      </c>
    </row>
    <row r="171" spans="1:25" x14ac:dyDescent="0.2">
      <c r="A171" s="201">
        <v>0</v>
      </c>
      <c r="B171" s="14">
        <f t="shared" si="62"/>
        <v>0</v>
      </c>
      <c r="C171" s="14" t="e">
        <f t="shared" si="44"/>
        <v>#NUM!</v>
      </c>
      <c r="D171" s="202" t="e">
        <f t="shared" si="42"/>
        <v>#NUM!</v>
      </c>
      <c r="E171" s="203" t="e">
        <f t="shared" si="59"/>
        <v>#DIV/0!</v>
      </c>
      <c r="F171" s="201" t="e">
        <f t="shared" si="45"/>
        <v>#DIV/0!</v>
      </c>
      <c r="G171" s="201"/>
      <c r="H171" s="207">
        <f t="shared" si="46"/>
        <v>0</v>
      </c>
      <c r="I171" s="201" t="e">
        <f t="shared" si="43"/>
        <v>#NUM!</v>
      </c>
      <c r="J171" s="204" t="e">
        <f t="shared" si="47"/>
        <v>#DIV/0!</v>
      </c>
      <c r="K171" s="204" t="e">
        <f t="shared" si="48"/>
        <v>#DIV/0!</v>
      </c>
      <c r="L171" s="204" t="e">
        <f t="shared" si="49"/>
        <v>#DIV/0!</v>
      </c>
      <c r="M171" s="277" t="e">
        <f t="shared" si="60"/>
        <v>#NUM!</v>
      </c>
      <c r="N171" s="201"/>
      <c r="O171" s="205" t="e">
        <f t="shared" si="61"/>
        <v>#DIV/0!</v>
      </c>
      <c r="Q171" s="201" t="e">
        <f t="shared" si="50"/>
        <v>#DIV/0!</v>
      </c>
      <c r="R171" s="204" t="e">
        <f t="shared" si="51"/>
        <v>#DIV/0!</v>
      </c>
      <c r="S171" s="204" t="e">
        <f t="shared" si="52"/>
        <v>#DIV/0!</v>
      </c>
      <c r="T171" s="204" t="e">
        <f t="shared" si="53"/>
        <v>#DIV/0!</v>
      </c>
      <c r="U171" s="105" t="e">
        <f t="shared" si="54"/>
        <v>#NUM!</v>
      </c>
      <c r="V171" s="187" t="e">
        <f t="shared" si="55"/>
        <v>#NUM!</v>
      </c>
      <c r="W171" s="204" t="e">
        <f t="shared" si="56"/>
        <v>#DIV/0!</v>
      </c>
      <c r="X171" s="204" t="e">
        <f t="shared" si="57"/>
        <v>#DIV/0!</v>
      </c>
      <c r="Y171" s="204" t="e">
        <f t="shared" si="58"/>
        <v>#DIV/0!</v>
      </c>
    </row>
    <row r="172" spans="1:25" x14ac:dyDescent="0.2">
      <c r="A172" s="201">
        <v>0</v>
      </c>
      <c r="B172" s="14">
        <f t="shared" si="62"/>
        <v>0</v>
      </c>
      <c r="C172" s="14" t="e">
        <f t="shared" si="44"/>
        <v>#NUM!</v>
      </c>
      <c r="D172" s="202" t="e">
        <f t="shared" si="42"/>
        <v>#NUM!</v>
      </c>
      <c r="E172" s="203" t="e">
        <f t="shared" si="59"/>
        <v>#DIV/0!</v>
      </c>
      <c r="F172" s="201" t="e">
        <f t="shared" si="45"/>
        <v>#DIV/0!</v>
      </c>
      <c r="G172" s="201"/>
      <c r="H172" s="207">
        <f t="shared" si="46"/>
        <v>0</v>
      </c>
      <c r="I172" s="201" t="e">
        <f t="shared" si="43"/>
        <v>#NUM!</v>
      </c>
      <c r="J172" s="204" t="e">
        <f t="shared" si="47"/>
        <v>#DIV/0!</v>
      </c>
      <c r="K172" s="204" t="e">
        <f t="shared" si="48"/>
        <v>#DIV/0!</v>
      </c>
      <c r="L172" s="204" t="e">
        <f t="shared" si="49"/>
        <v>#DIV/0!</v>
      </c>
      <c r="M172" s="277" t="e">
        <f t="shared" si="60"/>
        <v>#NUM!</v>
      </c>
      <c r="N172" s="201"/>
      <c r="O172" s="205" t="e">
        <f t="shared" si="61"/>
        <v>#DIV/0!</v>
      </c>
      <c r="Q172" s="201" t="e">
        <f t="shared" si="50"/>
        <v>#DIV/0!</v>
      </c>
      <c r="R172" s="204" t="e">
        <f t="shared" si="51"/>
        <v>#DIV/0!</v>
      </c>
      <c r="S172" s="204" t="e">
        <f t="shared" si="52"/>
        <v>#DIV/0!</v>
      </c>
      <c r="T172" s="204" t="e">
        <f t="shared" si="53"/>
        <v>#DIV/0!</v>
      </c>
      <c r="U172" s="105" t="e">
        <f t="shared" si="54"/>
        <v>#NUM!</v>
      </c>
      <c r="V172" s="187" t="e">
        <f t="shared" si="55"/>
        <v>#NUM!</v>
      </c>
      <c r="W172" s="204" t="e">
        <f t="shared" si="56"/>
        <v>#DIV/0!</v>
      </c>
      <c r="X172" s="204" t="e">
        <f t="shared" si="57"/>
        <v>#DIV/0!</v>
      </c>
      <c r="Y172" s="204" t="e">
        <f t="shared" si="58"/>
        <v>#DIV/0!</v>
      </c>
    </row>
    <row r="173" spans="1:25" x14ac:dyDescent="0.2">
      <c r="A173" s="201">
        <v>0</v>
      </c>
      <c r="B173" s="14">
        <f t="shared" si="62"/>
        <v>0</v>
      </c>
      <c r="C173" s="14" t="e">
        <f t="shared" si="44"/>
        <v>#NUM!</v>
      </c>
      <c r="D173" s="202" t="e">
        <f t="shared" si="42"/>
        <v>#NUM!</v>
      </c>
      <c r="E173" s="203" t="e">
        <f t="shared" si="59"/>
        <v>#DIV/0!</v>
      </c>
      <c r="F173" s="201" t="e">
        <f t="shared" si="45"/>
        <v>#DIV/0!</v>
      </c>
      <c r="G173" s="201"/>
      <c r="H173" s="207">
        <f t="shared" si="46"/>
        <v>0</v>
      </c>
      <c r="I173" s="201" t="e">
        <f t="shared" si="43"/>
        <v>#NUM!</v>
      </c>
      <c r="J173" s="204" t="e">
        <f t="shared" si="47"/>
        <v>#DIV/0!</v>
      </c>
      <c r="K173" s="204" t="e">
        <f t="shared" si="48"/>
        <v>#DIV/0!</v>
      </c>
      <c r="L173" s="204" t="e">
        <f t="shared" si="49"/>
        <v>#DIV/0!</v>
      </c>
      <c r="M173" s="277" t="e">
        <f t="shared" si="60"/>
        <v>#NUM!</v>
      </c>
      <c r="N173" s="201"/>
      <c r="O173" s="205" t="e">
        <f t="shared" si="61"/>
        <v>#DIV/0!</v>
      </c>
      <c r="Q173" s="201" t="e">
        <f t="shared" si="50"/>
        <v>#DIV/0!</v>
      </c>
      <c r="R173" s="204" t="e">
        <f t="shared" si="51"/>
        <v>#DIV/0!</v>
      </c>
      <c r="S173" s="204" t="e">
        <f t="shared" si="52"/>
        <v>#DIV/0!</v>
      </c>
      <c r="T173" s="204" t="e">
        <f t="shared" si="53"/>
        <v>#DIV/0!</v>
      </c>
      <c r="U173" s="105" t="e">
        <f t="shared" si="54"/>
        <v>#NUM!</v>
      </c>
      <c r="V173" s="187" t="e">
        <f t="shared" si="55"/>
        <v>#NUM!</v>
      </c>
      <c r="W173" s="204" t="e">
        <f t="shared" si="56"/>
        <v>#DIV/0!</v>
      </c>
      <c r="X173" s="204" t="e">
        <f t="shared" si="57"/>
        <v>#DIV/0!</v>
      </c>
      <c r="Y173" s="204" t="e">
        <f t="shared" si="58"/>
        <v>#DIV/0!</v>
      </c>
    </row>
    <row r="174" spans="1:25" x14ac:dyDescent="0.2">
      <c r="A174" s="201">
        <v>0</v>
      </c>
      <c r="B174" s="14">
        <f t="shared" si="62"/>
        <v>0</v>
      </c>
      <c r="C174" s="14" t="e">
        <f t="shared" si="44"/>
        <v>#NUM!</v>
      </c>
      <c r="D174" s="202" t="e">
        <f t="shared" si="42"/>
        <v>#NUM!</v>
      </c>
      <c r="E174" s="203" t="e">
        <f t="shared" si="59"/>
        <v>#DIV/0!</v>
      </c>
      <c r="F174" s="201" t="e">
        <f t="shared" si="45"/>
        <v>#DIV/0!</v>
      </c>
      <c r="G174" s="201"/>
      <c r="H174" s="207">
        <f t="shared" si="46"/>
        <v>0</v>
      </c>
      <c r="I174" s="201" t="e">
        <f t="shared" si="43"/>
        <v>#NUM!</v>
      </c>
      <c r="J174" s="204" t="e">
        <f t="shared" si="47"/>
        <v>#DIV/0!</v>
      </c>
      <c r="K174" s="204" t="e">
        <f t="shared" si="48"/>
        <v>#DIV/0!</v>
      </c>
      <c r="L174" s="204" t="e">
        <f t="shared" si="49"/>
        <v>#DIV/0!</v>
      </c>
      <c r="M174" s="277" t="e">
        <f t="shared" si="60"/>
        <v>#NUM!</v>
      </c>
      <c r="N174" s="201"/>
      <c r="O174" s="205" t="e">
        <f t="shared" si="61"/>
        <v>#DIV/0!</v>
      </c>
      <c r="Q174" s="201" t="e">
        <f t="shared" si="50"/>
        <v>#DIV/0!</v>
      </c>
      <c r="R174" s="204" t="e">
        <f t="shared" si="51"/>
        <v>#DIV/0!</v>
      </c>
      <c r="S174" s="204" t="e">
        <f t="shared" si="52"/>
        <v>#DIV/0!</v>
      </c>
      <c r="T174" s="204" t="e">
        <f t="shared" si="53"/>
        <v>#DIV/0!</v>
      </c>
      <c r="U174" s="105" t="e">
        <f t="shared" si="54"/>
        <v>#NUM!</v>
      </c>
      <c r="V174" s="187" t="e">
        <f t="shared" si="55"/>
        <v>#NUM!</v>
      </c>
      <c r="W174" s="204" t="e">
        <f t="shared" si="56"/>
        <v>#DIV/0!</v>
      </c>
      <c r="X174" s="204" t="e">
        <f t="shared" si="57"/>
        <v>#DIV/0!</v>
      </c>
      <c r="Y174" s="204" t="e">
        <f t="shared" si="58"/>
        <v>#DIV/0!</v>
      </c>
    </row>
    <row r="175" spans="1:25" x14ac:dyDescent="0.2">
      <c r="A175" s="201">
        <v>0</v>
      </c>
      <c r="B175" s="14">
        <f t="shared" si="62"/>
        <v>0</v>
      </c>
      <c r="C175" s="14" t="e">
        <f t="shared" si="44"/>
        <v>#NUM!</v>
      </c>
      <c r="D175" s="202" t="e">
        <f t="shared" si="42"/>
        <v>#NUM!</v>
      </c>
      <c r="E175" s="203" t="e">
        <f t="shared" si="59"/>
        <v>#DIV/0!</v>
      </c>
      <c r="F175" s="201" t="e">
        <f t="shared" si="45"/>
        <v>#DIV/0!</v>
      </c>
      <c r="G175" s="201"/>
      <c r="H175" s="207">
        <f t="shared" si="46"/>
        <v>0</v>
      </c>
      <c r="I175" s="201" t="e">
        <f t="shared" si="43"/>
        <v>#NUM!</v>
      </c>
      <c r="J175" s="204" t="e">
        <f t="shared" si="47"/>
        <v>#DIV/0!</v>
      </c>
      <c r="K175" s="204" t="e">
        <f t="shared" si="48"/>
        <v>#DIV/0!</v>
      </c>
      <c r="L175" s="204" t="e">
        <f t="shared" si="49"/>
        <v>#DIV/0!</v>
      </c>
      <c r="M175" s="277" t="e">
        <f t="shared" si="60"/>
        <v>#NUM!</v>
      </c>
      <c r="N175" s="201"/>
      <c r="O175" s="205" t="e">
        <f t="shared" si="61"/>
        <v>#DIV/0!</v>
      </c>
      <c r="Q175" s="201" t="e">
        <f t="shared" si="50"/>
        <v>#DIV/0!</v>
      </c>
      <c r="R175" s="204" t="e">
        <f t="shared" si="51"/>
        <v>#DIV/0!</v>
      </c>
      <c r="S175" s="204" t="e">
        <f t="shared" si="52"/>
        <v>#DIV/0!</v>
      </c>
      <c r="T175" s="204" t="e">
        <f t="shared" si="53"/>
        <v>#DIV/0!</v>
      </c>
      <c r="U175" s="105" t="e">
        <f t="shared" si="54"/>
        <v>#NUM!</v>
      </c>
      <c r="V175" s="187" t="e">
        <f t="shared" si="55"/>
        <v>#NUM!</v>
      </c>
      <c r="W175" s="204" t="e">
        <f t="shared" si="56"/>
        <v>#DIV/0!</v>
      </c>
      <c r="X175" s="204" t="e">
        <f t="shared" si="57"/>
        <v>#DIV/0!</v>
      </c>
      <c r="Y175" s="204" t="e">
        <f t="shared" si="58"/>
        <v>#DIV/0!</v>
      </c>
    </row>
    <row r="176" spans="1:25" x14ac:dyDescent="0.2">
      <c r="A176" s="201">
        <v>0</v>
      </c>
      <c r="B176" s="14">
        <f t="shared" si="62"/>
        <v>0</v>
      </c>
      <c r="C176" s="14" t="e">
        <f t="shared" si="44"/>
        <v>#NUM!</v>
      </c>
      <c r="D176" s="202" t="e">
        <f t="shared" si="42"/>
        <v>#NUM!</v>
      </c>
      <c r="E176" s="203" t="e">
        <f t="shared" si="59"/>
        <v>#DIV/0!</v>
      </c>
      <c r="F176" s="201" t="e">
        <f t="shared" si="45"/>
        <v>#DIV/0!</v>
      </c>
      <c r="G176" s="201"/>
      <c r="H176" s="207">
        <f t="shared" si="46"/>
        <v>0</v>
      </c>
      <c r="I176" s="201" t="e">
        <f t="shared" si="43"/>
        <v>#NUM!</v>
      </c>
      <c r="J176" s="204" t="e">
        <f t="shared" si="47"/>
        <v>#DIV/0!</v>
      </c>
      <c r="K176" s="204" t="e">
        <f t="shared" si="48"/>
        <v>#DIV/0!</v>
      </c>
      <c r="L176" s="204" t="e">
        <f t="shared" si="49"/>
        <v>#DIV/0!</v>
      </c>
      <c r="M176" s="277" t="e">
        <f t="shared" si="60"/>
        <v>#NUM!</v>
      </c>
      <c r="N176" s="201"/>
      <c r="O176" s="205" t="e">
        <f t="shared" si="61"/>
        <v>#DIV/0!</v>
      </c>
      <c r="Q176" s="201" t="e">
        <f t="shared" si="50"/>
        <v>#DIV/0!</v>
      </c>
      <c r="R176" s="204" t="e">
        <f t="shared" si="51"/>
        <v>#DIV/0!</v>
      </c>
      <c r="S176" s="204" t="e">
        <f t="shared" si="52"/>
        <v>#DIV/0!</v>
      </c>
      <c r="T176" s="204" t="e">
        <f t="shared" si="53"/>
        <v>#DIV/0!</v>
      </c>
      <c r="U176" s="105" t="e">
        <f t="shared" si="54"/>
        <v>#NUM!</v>
      </c>
      <c r="V176" s="187" t="e">
        <f t="shared" si="55"/>
        <v>#NUM!</v>
      </c>
      <c r="W176" s="204" t="e">
        <f t="shared" si="56"/>
        <v>#DIV/0!</v>
      </c>
      <c r="X176" s="204" t="e">
        <f t="shared" si="57"/>
        <v>#DIV/0!</v>
      </c>
      <c r="Y176" s="204" t="e">
        <f t="shared" si="58"/>
        <v>#DIV/0!</v>
      </c>
    </row>
    <row r="177" spans="1:25" x14ac:dyDescent="0.2">
      <c r="A177" s="201">
        <v>0</v>
      </c>
      <c r="B177" s="14">
        <f t="shared" si="62"/>
        <v>0</v>
      </c>
      <c r="C177" s="14" t="e">
        <f t="shared" si="44"/>
        <v>#NUM!</v>
      </c>
      <c r="D177" s="202" t="e">
        <f t="shared" si="42"/>
        <v>#NUM!</v>
      </c>
      <c r="E177" s="203" t="e">
        <f t="shared" si="59"/>
        <v>#DIV/0!</v>
      </c>
      <c r="F177" s="201" t="e">
        <f t="shared" si="45"/>
        <v>#DIV/0!</v>
      </c>
      <c r="G177" s="201"/>
      <c r="H177" s="207">
        <f t="shared" si="46"/>
        <v>0</v>
      </c>
      <c r="I177" s="201" t="e">
        <f t="shared" si="43"/>
        <v>#NUM!</v>
      </c>
      <c r="J177" s="204" t="e">
        <f t="shared" si="47"/>
        <v>#DIV/0!</v>
      </c>
      <c r="K177" s="204" t="e">
        <f t="shared" si="48"/>
        <v>#DIV/0!</v>
      </c>
      <c r="L177" s="204" t="e">
        <f t="shared" si="49"/>
        <v>#DIV/0!</v>
      </c>
      <c r="M177" s="277" t="e">
        <f t="shared" si="60"/>
        <v>#NUM!</v>
      </c>
      <c r="N177" s="201"/>
      <c r="O177" s="205" t="e">
        <f t="shared" si="61"/>
        <v>#DIV/0!</v>
      </c>
      <c r="Q177" s="201" t="e">
        <f t="shared" si="50"/>
        <v>#DIV/0!</v>
      </c>
      <c r="R177" s="204" t="e">
        <f t="shared" si="51"/>
        <v>#DIV/0!</v>
      </c>
      <c r="S177" s="204" t="e">
        <f t="shared" si="52"/>
        <v>#DIV/0!</v>
      </c>
      <c r="T177" s="204" t="e">
        <f t="shared" si="53"/>
        <v>#DIV/0!</v>
      </c>
      <c r="U177" s="105" t="e">
        <f t="shared" si="54"/>
        <v>#NUM!</v>
      </c>
      <c r="V177" s="187" t="e">
        <f t="shared" si="55"/>
        <v>#NUM!</v>
      </c>
      <c r="W177" s="204" t="e">
        <f t="shared" si="56"/>
        <v>#DIV/0!</v>
      </c>
      <c r="X177" s="204" t="e">
        <f t="shared" si="57"/>
        <v>#DIV/0!</v>
      </c>
      <c r="Y177" s="204" t="e">
        <f t="shared" si="58"/>
        <v>#DIV/0!</v>
      </c>
    </row>
    <row r="178" spans="1:25" x14ac:dyDescent="0.2">
      <c r="A178" s="201">
        <v>0</v>
      </c>
      <c r="B178" s="14">
        <f t="shared" si="62"/>
        <v>0</v>
      </c>
      <c r="C178" s="14" t="e">
        <f t="shared" si="44"/>
        <v>#NUM!</v>
      </c>
      <c r="D178" s="202" t="e">
        <f t="shared" si="42"/>
        <v>#NUM!</v>
      </c>
      <c r="E178" s="203" t="e">
        <f t="shared" si="59"/>
        <v>#DIV/0!</v>
      </c>
      <c r="F178" s="201" t="e">
        <f t="shared" si="45"/>
        <v>#DIV/0!</v>
      </c>
      <c r="G178" s="201"/>
      <c r="H178" s="207">
        <f t="shared" si="46"/>
        <v>0</v>
      </c>
      <c r="I178" s="201" t="e">
        <f t="shared" si="43"/>
        <v>#NUM!</v>
      </c>
      <c r="J178" s="204" t="e">
        <f t="shared" si="47"/>
        <v>#DIV/0!</v>
      </c>
      <c r="K178" s="204" t="e">
        <f t="shared" si="48"/>
        <v>#DIV/0!</v>
      </c>
      <c r="L178" s="204" t="e">
        <f t="shared" si="49"/>
        <v>#DIV/0!</v>
      </c>
      <c r="M178" s="277" t="e">
        <f t="shared" si="60"/>
        <v>#NUM!</v>
      </c>
      <c r="N178" s="201"/>
      <c r="O178" s="205" t="e">
        <f t="shared" si="61"/>
        <v>#DIV/0!</v>
      </c>
      <c r="Q178" s="201" t="e">
        <f t="shared" si="50"/>
        <v>#DIV/0!</v>
      </c>
      <c r="R178" s="204" t="e">
        <f t="shared" si="51"/>
        <v>#DIV/0!</v>
      </c>
      <c r="S178" s="204" t="e">
        <f t="shared" si="52"/>
        <v>#DIV/0!</v>
      </c>
      <c r="T178" s="204" t="e">
        <f t="shared" si="53"/>
        <v>#DIV/0!</v>
      </c>
      <c r="U178" s="105" t="e">
        <f t="shared" si="54"/>
        <v>#NUM!</v>
      </c>
      <c r="V178" s="187" t="e">
        <f t="shared" si="55"/>
        <v>#NUM!</v>
      </c>
      <c r="W178" s="204" t="e">
        <f t="shared" si="56"/>
        <v>#DIV/0!</v>
      </c>
      <c r="X178" s="204" t="e">
        <f t="shared" si="57"/>
        <v>#DIV/0!</v>
      </c>
      <c r="Y178" s="204" t="e">
        <f t="shared" si="58"/>
        <v>#DIV/0!</v>
      </c>
    </row>
    <row r="179" spans="1:25" x14ac:dyDescent="0.2">
      <c r="A179" s="201">
        <v>0</v>
      </c>
      <c r="B179" s="14">
        <f t="shared" si="62"/>
        <v>0</v>
      </c>
      <c r="C179" s="14" t="e">
        <f t="shared" si="44"/>
        <v>#NUM!</v>
      </c>
      <c r="D179" s="202" t="e">
        <f t="shared" ref="D179:D242" si="63">(C178+C179)/2</f>
        <v>#NUM!</v>
      </c>
      <c r="E179" s="203" t="e">
        <f t="shared" si="59"/>
        <v>#DIV/0!</v>
      </c>
      <c r="F179" s="201" t="e">
        <f t="shared" si="45"/>
        <v>#DIV/0!</v>
      </c>
      <c r="G179" s="201"/>
      <c r="H179" s="207">
        <f t="shared" si="46"/>
        <v>0</v>
      </c>
      <c r="I179" s="201" t="e">
        <f t="shared" si="43"/>
        <v>#NUM!</v>
      </c>
      <c r="J179" s="204" t="e">
        <f t="shared" si="47"/>
        <v>#DIV/0!</v>
      </c>
      <c r="K179" s="204" t="e">
        <f t="shared" si="48"/>
        <v>#DIV/0!</v>
      </c>
      <c r="L179" s="204" t="e">
        <f t="shared" si="49"/>
        <v>#DIV/0!</v>
      </c>
      <c r="M179" s="277" t="e">
        <f t="shared" si="60"/>
        <v>#NUM!</v>
      </c>
      <c r="N179" s="201"/>
      <c r="O179" s="205" t="e">
        <f t="shared" si="61"/>
        <v>#DIV/0!</v>
      </c>
      <c r="Q179" s="201" t="e">
        <f t="shared" si="50"/>
        <v>#DIV/0!</v>
      </c>
      <c r="R179" s="204" t="e">
        <f t="shared" si="51"/>
        <v>#DIV/0!</v>
      </c>
      <c r="S179" s="204" t="e">
        <f t="shared" si="52"/>
        <v>#DIV/0!</v>
      </c>
      <c r="T179" s="204" t="e">
        <f t="shared" si="53"/>
        <v>#DIV/0!</v>
      </c>
      <c r="U179" s="105" t="e">
        <f t="shared" si="54"/>
        <v>#NUM!</v>
      </c>
      <c r="V179" s="187" t="e">
        <f t="shared" si="55"/>
        <v>#NUM!</v>
      </c>
      <c r="W179" s="204" t="e">
        <f t="shared" si="56"/>
        <v>#DIV/0!</v>
      </c>
      <c r="X179" s="204" t="e">
        <f t="shared" si="57"/>
        <v>#DIV/0!</v>
      </c>
      <c r="Y179" s="204" t="e">
        <f t="shared" si="58"/>
        <v>#DIV/0!</v>
      </c>
    </row>
    <row r="180" spans="1:25" x14ac:dyDescent="0.2">
      <c r="A180" s="201">
        <v>0</v>
      </c>
      <c r="B180" s="14">
        <f t="shared" si="62"/>
        <v>0</v>
      </c>
      <c r="C180" s="14" t="e">
        <f t="shared" si="44"/>
        <v>#NUM!</v>
      </c>
      <c r="D180" s="202" t="e">
        <f t="shared" si="63"/>
        <v>#NUM!</v>
      </c>
      <c r="E180" s="203" t="e">
        <f t="shared" si="59"/>
        <v>#DIV/0!</v>
      </c>
      <c r="F180" s="201" t="e">
        <f t="shared" si="45"/>
        <v>#DIV/0!</v>
      </c>
      <c r="G180" s="201"/>
      <c r="H180" s="207">
        <f t="shared" si="46"/>
        <v>0</v>
      </c>
      <c r="I180" s="201" t="e">
        <f t="shared" si="43"/>
        <v>#NUM!</v>
      </c>
      <c r="J180" s="204" t="e">
        <f t="shared" si="47"/>
        <v>#DIV/0!</v>
      </c>
      <c r="K180" s="204" t="e">
        <f t="shared" si="48"/>
        <v>#DIV/0!</v>
      </c>
      <c r="L180" s="204" t="e">
        <f t="shared" si="49"/>
        <v>#DIV/0!</v>
      </c>
      <c r="M180" s="277" t="e">
        <f t="shared" si="60"/>
        <v>#NUM!</v>
      </c>
      <c r="N180" s="201"/>
      <c r="O180" s="205" t="e">
        <f t="shared" si="61"/>
        <v>#DIV/0!</v>
      </c>
      <c r="Q180" s="201" t="e">
        <f t="shared" si="50"/>
        <v>#DIV/0!</v>
      </c>
      <c r="R180" s="204" t="e">
        <f t="shared" si="51"/>
        <v>#DIV/0!</v>
      </c>
      <c r="S180" s="204" t="e">
        <f t="shared" si="52"/>
        <v>#DIV/0!</v>
      </c>
      <c r="T180" s="204" t="e">
        <f t="shared" si="53"/>
        <v>#DIV/0!</v>
      </c>
      <c r="U180" s="105" t="e">
        <f t="shared" si="54"/>
        <v>#NUM!</v>
      </c>
      <c r="V180" s="187" t="e">
        <f t="shared" si="55"/>
        <v>#NUM!</v>
      </c>
      <c r="W180" s="204" t="e">
        <f t="shared" si="56"/>
        <v>#DIV/0!</v>
      </c>
      <c r="X180" s="204" t="e">
        <f t="shared" si="57"/>
        <v>#DIV/0!</v>
      </c>
      <c r="Y180" s="204" t="e">
        <f t="shared" si="58"/>
        <v>#DIV/0!</v>
      </c>
    </row>
    <row r="181" spans="1:25" x14ac:dyDescent="0.2">
      <c r="A181" s="201">
        <v>0</v>
      </c>
      <c r="B181" s="14">
        <f t="shared" si="62"/>
        <v>0</v>
      </c>
      <c r="C181" s="14" t="e">
        <f t="shared" si="44"/>
        <v>#NUM!</v>
      </c>
      <c r="D181" s="202" t="e">
        <f t="shared" si="63"/>
        <v>#NUM!</v>
      </c>
      <c r="E181" s="203" t="e">
        <f t="shared" si="59"/>
        <v>#DIV/0!</v>
      </c>
      <c r="F181" s="201" t="e">
        <f t="shared" si="45"/>
        <v>#DIV/0!</v>
      </c>
      <c r="G181" s="201"/>
      <c r="H181" s="207">
        <f t="shared" si="46"/>
        <v>0</v>
      </c>
      <c r="I181" s="201" t="e">
        <f t="shared" si="43"/>
        <v>#NUM!</v>
      </c>
      <c r="J181" s="204" t="e">
        <f t="shared" si="47"/>
        <v>#DIV/0!</v>
      </c>
      <c r="K181" s="204" t="e">
        <f t="shared" si="48"/>
        <v>#DIV/0!</v>
      </c>
      <c r="L181" s="204" t="e">
        <f t="shared" si="49"/>
        <v>#DIV/0!</v>
      </c>
      <c r="M181" s="277" t="e">
        <f t="shared" si="60"/>
        <v>#NUM!</v>
      </c>
      <c r="N181" s="201"/>
      <c r="O181" s="205" t="e">
        <f t="shared" si="61"/>
        <v>#DIV/0!</v>
      </c>
      <c r="Q181" s="201" t="e">
        <f t="shared" si="50"/>
        <v>#DIV/0!</v>
      </c>
      <c r="R181" s="204" t="e">
        <f t="shared" si="51"/>
        <v>#DIV/0!</v>
      </c>
      <c r="S181" s="204" t="e">
        <f t="shared" si="52"/>
        <v>#DIV/0!</v>
      </c>
      <c r="T181" s="204" t="e">
        <f t="shared" si="53"/>
        <v>#DIV/0!</v>
      </c>
      <c r="U181" s="105" t="e">
        <f t="shared" si="54"/>
        <v>#NUM!</v>
      </c>
      <c r="V181" s="187" t="e">
        <f t="shared" si="55"/>
        <v>#NUM!</v>
      </c>
      <c r="W181" s="204" t="e">
        <f t="shared" si="56"/>
        <v>#DIV/0!</v>
      </c>
      <c r="X181" s="204" t="e">
        <f t="shared" si="57"/>
        <v>#DIV/0!</v>
      </c>
      <c r="Y181" s="204" t="e">
        <f t="shared" si="58"/>
        <v>#DIV/0!</v>
      </c>
    </row>
    <row r="182" spans="1:25" x14ac:dyDescent="0.2">
      <c r="A182" s="201">
        <v>0</v>
      </c>
      <c r="B182" s="14">
        <f t="shared" si="62"/>
        <v>0</v>
      </c>
      <c r="C182" s="14" t="e">
        <f t="shared" si="44"/>
        <v>#NUM!</v>
      </c>
      <c r="D182" s="202" t="e">
        <f t="shared" si="63"/>
        <v>#NUM!</v>
      </c>
      <c r="E182" s="203" t="e">
        <f t="shared" si="59"/>
        <v>#DIV/0!</v>
      </c>
      <c r="F182" s="201" t="e">
        <f t="shared" si="45"/>
        <v>#DIV/0!</v>
      </c>
      <c r="G182" s="201"/>
      <c r="H182" s="207">
        <f t="shared" si="46"/>
        <v>0</v>
      </c>
      <c r="I182" s="201" t="e">
        <f t="shared" si="43"/>
        <v>#NUM!</v>
      </c>
      <c r="J182" s="204" t="e">
        <f t="shared" si="47"/>
        <v>#DIV/0!</v>
      </c>
      <c r="K182" s="204" t="e">
        <f t="shared" si="48"/>
        <v>#DIV/0!</v>
      </c>
      <c r="L182" s="204" t="e">
        <f t="shared" si="49"/>
        <v>#DIV/0!</v>
      </c>
      <c r="M182" s="277" t="e">
        <f t="shared" si="60"/>
        <v>#NUM!</v>
      </c>
      <c r="N182" s="201"/>
      <c r="O182" s="205" t="e">
        <f t="shared" si="61"/>
        <v>#DIV/0!</v>
      </c>
      <c r="Q182" s="201" t="e">
        <f t="shared" si="50"/>
        <v>#DIV/0!</v>
      </c>
      <c r="R182" s="204" t="e">
        <f t="shared" si="51"/>
        <v>#DIV/0!</v>
      </c>
      <c r="S182" s="204" t="e">
        <f t="shared" si="52"/>
        <v>#DIV/0!</v>
      </c>
      <c r="T182" s="204" t="e">
        <f t="shared" si="53"/>
        <v>#DIV/0!</v>
      </c>
      <c r="U182" s="105" t="e">
        <f t="shared" si="54"/>
        <v>#NUM!</v>
      </c>
      <c r="V182" s="187" t="e">
        <f t="shared" si="55"/>
        <v>#NUM!</v>
      </c>
      <c r="W182" s="204" t="e">
        <f t="shared" si="56"/>
        <v>#DIV/0!</v>
      </c>
      <c r="X182" s="204" t="e">
        <f t="shared" si="57"/>
        <v>#DIV/0!</v>
      </c>
      <c r="Y182" s="204" t="e">
        <f t="shared" si="58"/>
        <v>#DIV/0!</v>
      </c>
    </row>
    <row r="183" spans="1:25" x14ac:dyDescent="0.2">
      <c r="A183" s="201">
        <v>0</v>
      </c>
      <c r="B183" s="14">
        <f t="shared" si="62"/>
        <v>0</v>
      </c>
      <c r="C183" s="14" t="e">
        <f t="shared" si="44"/>
        <v>#NUM!</v>
      </c>
      <c r="D183" s="202" t="e">
        <f t="shared" si="63"/>
        <v>#NUM!</v>
      </c>
      <c r="E183" s="203" t="e">
        <f t="shared" si="59"/>
        <v>#DIV/0!</v>
      </c>
      <c r="F183" s="201" t="e">
        <f t="shared" si="45"/>
        <v>#DIV/0!</v>
      </c>
      <c r="G183" s="201"/>
      <c r="H183" s="207">
        <f t="shared" si="46"/>
        <v>0</v>
      </c>
      <c r="I183" s="201" t="e">
        <f t="shared" si="43"/>
        <v>#NUM!</v>
      </c>
      <c r="J183" s="204" t="e">
        <f t="shared" si="47"/>
        <v>#DIV/0!</v>
      </c>
      <c r="K183" s="204" t="e">
        <f t="shared" si="48"/>
        <v>#DIV/0!</v>
      </c>
      <c r="L183" s="204" t="e">
        <f t="shared" si="49"/>
        <v>#DIV/0!</v>
      </c>
      <c r="M183" s="277" t="e">
        <f t="shared" si="60"/>
        <v>#NUM!</v>
      </c>
      <c r="N183" s="201"/>
      <c r="O183" s="205" t="e">
        <f t="shared" si="61"/>
        <v>#DIV/0!</v>
      </c>
      <c r="Q183" s="201" t="e">
        <f t="shared" si="50"/>
        <v>#DIV/0!</v>
      </c>
      <c r="R183" s="204" t="e">
        <f t="shared" si="51"/>
        <v>#DIV/0!</v>
      </c>
      <c r="S183" s="204" t="e">
        <f t="shared" si="52"/>
        <v>#DIV/0!</v>
      </c>
      <c r="T183" s="204" t="e">
        <f t="shared" si="53"/>
        <v>#DIV/0!</v>
      </c>
      <c r="U183" s="105" t="e">
        <f t="shared" si="54"/>
        <v>#NUM!</v>
      </c>
      <c r="V183" s="187" t="e">
        <f t="shared" si="55"/>
        <v>#NUM!</v>
      </c>
      <c r="W183" s="204" t="e">
        <f t="shared" si="56"/>
        <v>#DIV/0!</v>
      </c>
      <c r="X183" s="204" t="e">
        <f t="shared" si="57"/>
        <v>#DIV/0!</v>
      </c>
      <c r="Y183" s="204" t="e">
        <f t="shared" si="58"/>
        <v>#DIV/0!</v>
      </c>
    </row>
    <row r="184" spans="1:25" x14ac:dyDescent="0.2">
      <c r="A184" s="201">
        <v>0</v>
      </c>
      <c r="B184" s="14">
        <f t="shared" si="62"/>
        <v>0</v>
      </c>
      <c r="C184" s="14" t="e">
        <f t="shared" si="44"/>
        <v>#NUM!</v>
      </c>
      <c r="D184" s="202" t="e">
        <f t="shared" si="63"/>
        <v>#NUM!</v>
      </c>
      <c r="E184" s="203" t="e">
        <f t="shared" si="59"/>
        <v>#DIV/0!</v>
      </c>
      <c r="F184" s="201" t="e">
        <f t="shared" si="45"/>
        <v>#DIV/0!</v>
      </c>
      <c r="G184" s="201"/>
      <c r="H184" s="207">
        <f t="shared" si="46"/>
        <v>0</v>
      </c>
      <c r="I184" s="201" t="e">
        <f t="shared" si="43"/>
        <v>#NUM!</v>
      </c>
      <c r="J184" s="204" t="e">
        <f t="shared" si="47"/>
        <v>#DIV/0!</v>
      </c>
      <c r="K184" s="204" t="e">
        <f t="shared" si="48"/>
        <v>#DIV/0!</v>
      </c>
      <c r="L184" s="204" t="e">
        <f t="shared" si="49"/>
        <v>#DIV/0!</v>
      </c>
      <c r="M184" s="277" t="e">
        <f t="shared" si="60"/>
        <v>#NUM!</v>
      </c>
      <c r="N184" s="201"/>
      <c r="O184" s="205" t="e">
        <f t="shared" si="61"/>
        <v>#DIV/0!</v>
      </c>
      <c r="Q184" s="201" t="e">
        <f t="shared" si="50"/>
        <v>#DIV/0!</v>
      </c>
      <c r="R184" s="204" t="e">
        <f t="shared" si="51"/>
        <v>#DIV/0!</v>
      </c>
      <c r="S184" s="204" t="e">
        <f t="shared" si="52"/>
        <v>#DIV/0!</v>
      </c>
      <c r="T184" s="204" t="e">
        <f t="shared" si="53"/>
        <v>#DIV/0!</v>
      </c>
      <c r="U184" s="105" t="e">
        <f t="shared" si="54"/>
        <v>#NUM!</v>
      </c>
      <c r="V184" s="187" t="e">
        <f t="shared" si="55"/>
        <v>#NUM!</v>
      </c>
      <c r="W184" s="204" t="e">
        <f t="shared" si="56"/>
        <v>#DIV/0!</v>
      </c>
      <c r="X184" s="204" t="e">
        <f t="shared" si="57"/>
        <v>#DIV/0!</v>
      </c>
      <c r="Y184" s="204" t="e">
        <f t="shared" si="58"/>
        <v>#DIV/0!</v>
      </c>
    </row>
    <row r="185" spans="1:25" x14ac:dyDescent="0.2">
      <c r="A185" s="201">
        <v>0</v>
      </c>
      <c r="B185" s="14">
        <f t="shared" si="62"/>
        <v>0</v>
      </c>
      <c r="C185" s="14" t="e">
        <f t="shared" si="44"/>
        <v>#NUM!</v>
      </c>
      <c r="D185" s="202" t="e">
        <f t="shared" si="63"/>
        <v>#NUM!</v>
      </c>
      <c r="E185" s="203" t="e">
        <f t="shared" si="59"/>
        <v>#DIV/0!</v>
      </c>
      <c r="F185" s="201" t="e">
        <f t="shared" si="45"/>
        <v>#DIV/0!</v>
      </c>
      <c r="G185" s="201"/>
      <c r="H185" s="207">
        <f t="shared" si="46"/>
        <v>0</v>
      </c>
      <c r="I185" s="201" t="e">
        <f t="shared" si="43"/>
        <v>#NUM!</v>
      </c>
      <c r="J185" s="204" t="e">
        <f t="shared" si="47"/>
        <v>#DIV/0!</v>
      </c>
      <c r="K185" s="204" t="e">
        <f t="shared" si="48"/>
        <v>#DIV/0!</v>
      </c>
      <c r="L185" s="204" t="e">
        <f t="shared" si="49"/>
        <v>#DIV/0!</v>
      </c>
      <c r="M185" s="277" t="e">
        <f t="shared" si="60"/>
        <v>#NUM!</v>
      </c>
      <c r="N185" s="201"/>
      <c r="O185" s="205" t="e">
        <f t="shared" si="61"/>
        <v>#DIV/0!</v>
      </c>
      <c r="Q185" s="201" t="e">
        <f t="shared" si="50"/>
        <v>#DIV/0!</v>
      </c>
      <c r="R185" s="204" t="e">
        <f t="shared" si="51"/>
        <v>#DIV/0!</v>
      </c>
      <c r="S185" s="204" t="e">
        <f t="shared" si="52"/>
        <v>#DIV/0!</v>
      </c>
      <c r="T185" s="204" t="e">
        <f t="shared" si="53"/>
        <v>#DIV/0!</v>
      </c>
      <c r="U185" s="105" t="e">
        <f t="shared" si="54"/>
        <v>#NUM!</v>
      </c>
      <c r="V185" s="187" t="e">
        <f t="shared" si="55"/>
        <v>#NUM!</v>
      </c>
      <c r="W185" s="204" t="e">
        <f t="shared" si="56"/>
        <v>#DIV/0!</v>
      </c>
      <c r="X185" s="204" t="e">
        <f t="shared" si="57"/>
        <v>#DIV/0!</v>
      </c>
      <c r="Y185" s="204" t="e">
        <f t="shared" si="58"/>
        <v>#DIV/0!</v>
      </c>
    </row>
    <row r="186" spans="1:25" x14ac:dyDescent="0.2">
      <c r="A186" s="201">
        <v>0</v>
      </c>
      <c r="B186" s="14">
        <f t="shared" si="62"/>
        <v>0</v>
      </c>
      <c r="C186" s="14" t="e">
        <f t="shared" si="44"/>
        <v>#NUM!</v>
      </c>
      <c r="D186" s="202" t="e">
        <f t="shared" si="63"/>
        <v>#NUM!</v>
      </c>
      <c r="E186" s="203" t="e">
        <f t="shared" si="59"/>
        <v>#DIV/0!</v>
      </c>
      <c r="F186" s="201" t="e">
        <f t="shared" si="45"/>
        <v>#DIV/0!</v>
      </c>
      <c r="G186" s="201"/>
      <c r="H186" s="207">
        <f t="shared" si="46"/>
        <v>0</v>
      </c>
      <c r="I186" s="201" t="e">
        <f t="shared" si="43"/>
        <v>#NUM!</v>
      </c>
      <c r="J186" s="204" t="e">
        <f t="shared" si="47"/>
        <v>#DIV/0!</v>
      </c>
      <c r="K186" s="204" t="e">
        <f t="shared" si="48"/>
        <v>#DIV/0!</v>
      </c>
      <c r="L186" s="204" t="e">
        <f t="shared" si="49"/>
        <v>#DIV/0!</v>
      </c>
      <c r="M186" s="277" t="e">
        <f t="shared" si="60"/>
        <v>#NUM!</v>
      </c>
      <c r="N186" s="201"/>
      <c r="O186" s="205" t="e">
        <f t="shared" si="61"/>
        <v>#DIV/0!</v>
      </c>
      <c r="Q186" s="201" t="e">
        <f t="shared" si="50"/>
        <v>#DIV/0!</v>
      </c>
      <c r="R186" s="204" t="e">
        <f t="shared" si="51"/>
        <v>#DIV/0!</v>
      </c>
      <c r="S186" s="204" t="e">
        <f t="shared" si="52"/>
        <v>#DIV/0!</v>
      </c>
      <c r="T186" s="204" t="e">
        <f t="shared" si="53"/>
        <v>#DIV/0!</v>
      </c>
      <c r="U186" s="105" t="e">
        <f t="shared" si="54"/>
        <v>#NUM!</v>
      </c>
      <c r="V186" s="187" t="e">
        <f t="shared" si="55"/>
        <v>#NUM!</v>
      </c>
      <c r="W186" s="204" t="e">
        <f t="shared" si="56"/>
        <v>#DIV/0!</v>
      </c>
      <c r="X186" s="204" t="e">
        <f t="shared" si="57"/>
        <v>#DIV/0!</v>
      </c>
      <c r="Y186" s="204" t="e">
        <f t="shared" si="58"/>
        <v>#DIV/0!</v>
      </c>
    </row>
    <row r="187" spans="1:25" x14ac:dyDescent="0.2">
      <c r="A187" s="201">
        <v>0</v>
      </c>
      <c r="B187" s="14">
        <f t="shared" si="62"/>
        <v>0</v>
      </c>
      <c r="C187" s="14" t="e">
        <f t="shared" si="44"/>
        <v>#NUM!</v>
      </c>
      <c r="D187" s="202" t="e">
        <f t="shared" si="63"/>
        <v>#NUM!</v>
      </c>
      <c r="E187" s="203" t="e">
        <f t="shared" si="59"/>
        <v>#DIV/0!</v>
      </c>
      <c r="F187" s="201" t="e">
        <f t="shared" si="45"/>
        <v>#DIV/0!</v>
      </c>
      <c r="G187" s="201"/>
      <c r="H187" s="207">
        <f t="shared" si="46"/>
        <v>0</v>
      </c>
      <c r="I187" s="201" t="e">
        <f t="shared" si="43"/>
        <v>#NUM!</v>
      </c>
      <c r="J187" s="204" t="e">
        <f t="shared" si="47"/>
        <v>#DIV/0!</v>
      </c>
      <c r="K187" s="204" t="e">
        <f t="shared" si="48"/>
        <v>#DIV/0!</v>
      </c>
      <c r="L187" s="204" t="e">
        <f t="shared" si="49"/>
        <v>#DIV/0!</v>
      </c>
      <c r="M187" s="277" t="e">
        <f t="shared" si="60"/>
        <v>#NUM!</v>
      </c>
      <c r="N187" s="201"/>
      <c r="O187" s="205" t="e">
        <f t="shared" si="61"/>
        <v>#DIV/0!</v>
      </c>
      <c r="Q187" s="201" t="e">
        <f t="shared" si="50"/>
        <v>#DIV/0!</v>
      </c>
      <c r="R187" s="204" t="e">
        <f t="shared" si="51"/>
        <v>#DIV/0!</v>
      </c>
      <c r="S187" s="204" t="e">
        <f t="shared" si="52"/>
        <v>#DIV/0!</v>
      </c>
      <c r="T187" s="204" t="e">
        <f t="shared" si="53"/>
        <v>#DIV/0!</v>
      </c>
      <c r="U187" s="105" t="e">
        <f t="shared" si="54"/>
        <v>#NUM!</v>
      </c>
      <c r="V187" s="187" t="e">
        <f t="shared" si="55"/>
        <v>#NUM!</v>
      </c>
      <c r="W187" s="204" t="e">
        <f t="shared" si="56"/>
        <v>#DIV/0!</v>
      </c>
      <c r="X187" s="204" t="e">
        <f t="shared" si="57"/>
        <v>#DIV/0!</v>
      </c>
      <c r="Y187" s="204" t="e">
        <f t="shared" si="58"/>
        <v>#DIV/0!</v>
      </c>
    </row>
    <row r="188" spans="1:25" x14ac:dyDescent="0.2">
      <c r="A188" s="201">
        <v>0</v>
      </c>
      <c r="B188" s="14">
        <f t="shared" si="62"/>
        <v>0</v>
      </c>
      <c r="C188" s="14" t="e">
        <f t="shared" si="44"/>
        <v>#NUM!</v>
      </c>
      <c r="D188" s="202" t="e">
        <f t="shared" si="63"/>
        <v>#NUM!</v>
      </c>
      <c r="E188" s="203" t="e">
        <f t="shared" si="59"/>
        <v>#DIV/0!</v>
      </c>
      <c r="F188" s="201" t="e">
        <f t="shared" si="45"/>
        <v>#DIV/0!</v>
      </c>
      <c r="G188" s="201"/>
      <c r="H188" s="207">
        <f t="shared" si="46"/>
        <v>0</v>
      </c>
      <c r="I188" s="201" t="e">
        <f t="shared" si="43"/>
        <v>#NUM!</v>
      </c>
      <c r="J188" s="204" t="e">
        <f t="shared" si="47"/>
        <v>#DIV/0!</v>
      </c>
      <c r="K188" s="204" t="e">
        <f t="shared" si="48"/>
        <v>#DIV/0!</v>
      </c>
      <c r="L188" s="204" t="e">
        <f t="shared" si="49"/>
        <v>#DIV/0!</v>
      </c>
      <c r="M188" s="277" t="e">
        <f t="shared" si="60"/>
        <v>#NUM!</v>
      </c>
      <c r="N188" s="201"/>
      <c r="O188" s="205" t="e">
        <f t="shared" si="61"/>
        <v>#DIV/0!</v>
      </c>
      <c r="Q188" s="201" t="e">
        <f t="shared" si="50"/>
        <v>#DIV/0!</v>
      </c>
      <c r="R188" s="204" t="e">
        <f t="shared" si="51"/>
        <v>#DIV/0!</v>
      </c>
      <c r="S188" s="204" t="e">
        <f t="shared" si="52"/>
        <v>#DIV/0!</v>
      </c>
      <c r="T188" s="204" t="e">
        <f t="shared" si="53"/>
        <v>#DIV/0!</v>
      </c>
      <c r="U188" s="105" t="e">
        <f t="shared" si="54"/>
        <v>#NUM!</v>
      </c>
      <c r="V188" s="187" t="e">
        <f t="shared" si="55"/>
        <v>#NUM!</v>
      </c>
      <c r="W188" s="204" t="e">
        <f t="shared" si="56"/>
        <v>#DIV/0!</v>
      </c>
      <c r="X188" s="204" t="e">
        <f t="shared" si="57"/>
        <v>#DIV/0!</v>
      </c>
      <c r="Y188" s="204" t="e">
        <f t="shared" si="58"/>
        <v>#DIV/0!</v>
      </c>
    </row>
    <row r="189" spans="1:25" x14ac:dyDescent="0.2">
      <c r="A189" s="201">
        <v>0</v>
      </c>
      <c r="B189" s="14">
        <f t="shared" si="62"/>
        <v>0</v>
      </c>
      <c r="C189" s="14" t="e">
        <f t="shared" si="44"/>
        <v>#NUM!</v>
      </c>
      <c r="D189" s="202" t="e">
        <f t="shared" si="63"/>
        <v>#NUM!</v>
      </c>
      <c r="E189" s="203" t="e">
        <f t="shared" si="59"/>
        <v>#DIV/0!</v>
      </c>
      <c r="F189" s="201" t="e">
        <f t="shared" si="45"/>
        <v>#DIV/0!</v>
      </c>
      <c r="G189" s="201"/>
      <c r="H189" s="207">
        <f t="shared" si="46"/>
        <v>0</v>
      </c>
      <c r="I189" s="201" t="e">
        <f t="shared" si="43"/>
        <v>#NUM!</v>
      </c>
      <c r="J189" s="204" t="e">
        <f t="shared" si="47"/>
        <v>#DIV/0!</v>
      </c>
      <c r="K189" s="204" t="e">
        <f t="shared" si="48"/>
        <v>#DIV/0!</v>
      </c>
      <c r="L189" s="204" t="e">
        <f t="shared" si="49"/>
        <v>#DIV/0!</v>
      </c>
      <c r="M189" s="277" t="e">
        <f t="shared" si="60"/>
        <v>#NUM!</v>
      </c>
      <c r="N189" s="201"/>
      <c r="O189" s="205" t="e">
        <f t="shared" si="61"/>
        <v>#DIV/0!</v>
      </c>
      <c r="Q189" s="201" t="e">
        <f t="shared" si="50"/>
        <v>#DIV/0!</v>
      </c>
      <c r="R189" s="204" t="e">
        <f t="shared" si="51"/>
        <v>#DIV/0!</v>
      </c>
      <c r="S189" s="204" t="e">
        <f t="shared" si="52"/>
        <v>#DIV/0!</v>
      </c>
      <c r="T189" s="204" t="e">
        <f t="shared" si="53"/>
        <v>#DIV/0!</v>
      </c>
      <c r="U189" s="105" t="e">
        <f t="shared" si="54"/>
        <v>#NUM!</v>
      </c>
      <c r="V189" s="187" t="e">
        <f t="shared" si="55"/>
        <v>#NUM!</v>
      </c>
      <c r="W189" s="204" t="e">
        <f t="shared" si="56"/>
        <v>#DIV/0!</v>
      </c>
      <c r="X189" s="204" t="e">
        <f t="shared" si="57"/>
        <v>#DIV/0!</v>
      </c>
      <c r="Y189" s="204" t="e">
        <f t="shared" si="58"/>
        <v>#DIV/0!</v>
      </c>
    </row>
    <row r="190" spans="1:25" x14ac:dyDescent="0.2">
      <c r="A190" s="201">
        <v>0</v>
      </c>
      <c r="B190" s="14">
        <f t="shared" si="62"/>
        <v>0</v>
      </c>
      <c r="C190" s="14" t="e">
        <f t="shared" si="44"/>
        <v>#NUM!</v>
      </c>
      <c r="D190" s="202" t="e">
        <f t="shared" si="63"/>
        <v>#NUM!</v>
      </c>
      <c r="E190" s="203" t="e">
        <f t="shared" si="59"/>
        <v>#DIV/0!</v>
      </c>
      <c r="F190" s="201" t="e">
        <f t="shared" si="45"/>
        <v>#DIV/0!</v>
      </c>
      <c r="G190" s="201"/>
      <c r="H190" s="207">
        <f t="shared" si="46"/>
        <v>0</v>
      </c>
      <c r="I190" s="201" t="e">
        <f t="shared" si="43"/>
        <v>#NUM!</v>
      </c>
      <c r="J190" s="204" t="e">
        <f t="shared" si="47"/>
        <v>#DIV/0!</v>
      </c>
      <c r="K190" s="204" t="e">
        <f t="shared" si="48"/>
        <v>#DIV/0!</v>
      </c>
      <c r="L190" s="204" t="e">
        <f t="shared" si="49"/>
        <v>#DIV/0!</v>
      </c>
      <c r="M190" s="277" t="e">
        <f t="shared" si="60"/>
        <v>#NUM!</v>
      </c>
      <c r="N190" s="201"/>
      <c r="O190" s="205" t="e">
        <f t="shared" si="61"/>
        <v>#DIV/0!</v>
      </c>
      <c r="Q190" s="201" t="e">
        <f t="shared" si="50"/>
        <v>#DIV/0!</v>
      </c>
      <c r="R190" s="204" t="e">
        <f t="shared" si="51"/>
        <v>#DIV/0!</v>
      </c>
      <c r="S190" s="204" t="e">
        <f t="shared" si="52"/>
        <v>#DIV/0!</v>
      </c>
      <c r="T190" s="204" t="e">
        <f t="shared" si="53"/>
        <v>#DIV/0!</v>
      </c>
      <c r="U190" s="105" t="e">
        <f t="shared" si="54"/>
        <v>#NUM!</v>
      </c>
      <c r="V190" s="187" t="e">
        <f t="shared" si="55"/>
        <v>#NUM!</v>
      </c>
      <c r="W190" s="204" t="e">
        <f t="shared" si="56"/>
        <v>#DIV/0!</v>
      </c>
      <c r="X190" s="204" t="e">
        <f t="shared" si="57"/>
        <v>#DIV/0!</v>
      </c>
      <c r="Y190" s="204" t="e">
        <f t="shared" si="58"/>
        <v>#DIV/0!</v>
      </c>
    </row>
    <row r="191" spans="1:25" x14ac:dyDescent="0.2">
      <c r="A191" s="201">
        <v>0</v>
      </c>
      <c r="B191" s="14">
        <f t="shared" si="62"/>
        <v>0</v>
      </c>
      <c r="C191" s="14" t="e">
        <f t="shared" si="44"/>
        <v>#NUM!</v>
      </c>
      <c r="D191" s="202" t="e">
        <f t="shared" si="63"/>
        <v>#NUM!</v>
      </c>
      <c r="E191" s="203" t="e">
        <f t="shared" si="59"/>
        <v>#DIV/0!</v>
      </c>
      <c r="F191" s="201" t="e">
        <f t="shared" si="45"/>
        <v>#DIV/0!</v>
      </c>
      <c r="G191" s="201"/>
      <c r="H191" s="207">
        <f t="shared" si="46"/>
        <v>0</v>
      </c>
      <c r="I191" s="201" t="e">
        <f t="shared" si="43"/>
        <v>#NUM!</v>
      </c>
      <c r="J191" s="204" t="e">
        <f t="shared" si="47"/>
        <v>#DIV/0!</v>
      </c>
      <c r="K191" s="204" t="e">
        <f t="shared" si="48"/>
        <v>#DIV/0!</v>
      </c>
      <c r="L191" s="204" t="e">
        <f t="shared" si="49"/>
        <v>#DIV/0!</v>
      </c>
      <c r="M191" s="277" t="e">
        <f t="shared" si="60"/>
        <v>#NUM!</v>
      </c>
      <c r="N191" s="201"/>
      <c r="O191" s="205" t="e">
        <f t="shared" si="61"/>
        <v>#DIV/0!</v>
      </c>
      <c r="Q191" s="201" t="e">
        <f t="shared" si="50"/>
        <v>#DIV/0!</v>
      </c>
      <c r="R191" s="204" t="e">
        <f t="shared" si="51"/>
        <v>#DIV/0!</v>
      </c>
      <c r="S191" s="204" t="e">
        <f t="shared" si="52"/>
        <v>#DIV/0!</v>
      </c>
      <c r="T191" s="204" t="e">
        <f t="shared" si="53"/>
        <v>#DIV/0!</v>
      </c>
      <c r="U191" s="105" t="e">
        <f t="shared" si="54"/>
        <v>#NUM!</v>
      </c>
      <c r="V191" s="187" t="e">
        <f t="shared" si="55"/>
        <v>#NUM!</v>
      </c>
      <c r="W191" s="204" t="e">
        <f t="shared" si="56"/>
        <v>#DIV/0!</v>
      </c>
      <c r="X191" s="204" t="e">
        <f t="shared" si="57"/>
        <v>#DIV/0!</v>
      </c>
      <c r="Y191" s="204" t="e">
        <f t="shared" si="58"/>
        <v>#DIV/0!</v>
      </c>
    </row>
    <row r="192" spans="1:25" x14ac:dyDescent="0.2">
      <c r="A192" s="201">
        <v>0</v>
      </c>
      <c r="B192" s="14">
        <f t="shared" si="62"/>
        <v>0</v>
      </c>
      <c r="C192" s="14" t="e">
        <f t="shared" si="44"/>
        <v>#NUM!</v>
      </c>
      <c r="D192" s="202" t="e">
        <f t="shared" si="63"/>
        <v>#NUM!</v>
      </c>
      <c r="E192" s="203" t="e">
        <f t="shared" si="59"/>
        <v>#DIV/0!</v>
      </c>
      <c r="F192" s="201" t="e">
        <f t="shared" si="45"/>
        <v>#DIV/0!</v>
      </c>
      <c r="G192" s="201"/>
      <c r="H192" s="207">
        <f t="shared" si="46"/>
        <v>0</v>
      </c>
      <c r="I192" s="201" t="e">
        <f t="shared" si="43"/>
        <v>#NUM!</v>
      </c>
      <c r="J192" s="204" t="e">
        <f t="shared" si="47"/>
        <v>#DIV/0!</v>
      </c>
      <c r="K192" s="204" t="e">
        <f t="shared" si="48"/>
        <v>#DIV/0!</v>
      </c>
      <c r="L192" s="204" t="e">
        <f t="shared" si="49"/>
        <v>#DIV/0!</v>
      </c>
      <c r="M192" s="277" t="e">
        <f t="shared" si="60"/>
        <v>#NUM!</v>
      </c>
      <c r="N192" s="201"/>
      <c r="O192" s="205" t="e">
        <f t="shared" si="61"/>
        <v>#DIV/0!</v>
      </c>
      <c r="Q192" s="201" t="e">
        <f t="shared" si="50"/>
        <v>#DIV/0!</v>
      </c>
      <c r="R192" s="204" t="e">
        <f t="shared" si="51"/>
        <v>#DIV/0!</v>
      </c>
      <c r="S192" s="204" t="e">
        <f t="shared" si="52"/>
        <v>#DIV/0!</v>
      </c>
      <c r="T192" s="204" t="e">
        <f t="shared" si="53"/>
        <v>#DIV/0!</v>
      </c>
      <c r="U192" s="105" t="e">
        <f t="shared" si="54"/>
        <v>#NUM!</v>
      </c>
      <c r="V192" s="187" t="e">
        <f t="shared" si="55"/>
        <v>#NUM!</v>
      </c>
      <c r="W192" s="204" t="e">
        <f t="shared" si="56"/>
        <v>#DIV/0!</v>
      </c>
      <c r="X192" s="204" t="e">
        <f t="shared" si="57"/>
        <v>#DIV/0!</v>
      </c>
      <c r="Y192" s="204" t="e">
        <f t="shared" si="58"/>
        <v>#DIV/0!</v>
      </c>
    </row>
    <row r="193" spans="1:25" x14ac:dyDescent="0.2">
      <c r="A193" s="201">
        <v>0</v>
      </c>
      <c r="B193" s="14">
        <f t="shared" si="62"/>
        <v>0</v>
      </c>
      <c r="C193" s="14" t="e">
        <f t="shared" si="44"/>
        <v>#NUM!</v>
      </c>
      <c r="D193" s="202" t="e">
        <f t="shared" si="63"/>
        <v>#NUM!</v>
      </c>
      <c r="E193" s="203" t="e">
        <f t="shared" si="59"/>
        <v>#DIV/0!</v>
      </c>
      <c r="F193" s="201" t="e">
        <f t="shared" si="45"/>
        <v>#DIV/0!</v>
      </c>
      <c r="G193" s="201"/>
      <c r="H193" s="207">
        <f t="shared" si="46"/>
        <v>0</v>
      </c>
      <c r="I193" s="201" t="e">
        <f t="shared" si="43"/>
        <v>#NUM!</v>
      </c>
      <c r="J193" s="204" t="e">
        <f t="shared" si="47"/>
        <v>#DIV/0!</v>
      </c>
      <c r="K193" s="204" t="e">
        <f t="shared" si="48"/>
        <v>#DIV/0!</v>
      </c>
      <c r="L193" s="204" t="e">
        <f t="shared" si="49"/>
        <v>#DIV/0!</v>
      </c>
      <c r="M193" s="277" t="e">
        <f t="shared" si="60"/>
        <v>#NUM!</v>
      </c>
      <c r="N193" s="201"/>
      <c r="O193" s="205" t="e">
        <f t="shared" si="61"/>
        <v>#DIV/0!</v>
      </c>
      <c r="Q193" s="201" t="e">
        <f t="shared" si="50"/>
        <v>#DIV/0!</v>
      </c>
      <c r="R193" s="204" t="e">
        <f t="shared" si="51"/>
        <v>#DIV/0!</v>
      </c>
      <c r="S193" s="204" t="e">
        <f t="shared" si="52"/>
        <v>#DIV/0!</v>
      </c>
      <c r="T193" s="204" t="e">
        <f t="shared" si="53"/>
        <v>#DIV/0!</v>
      </c>
      <c r="U193" s="105" t="e">
        <f t="shared" si="54"/>
        <v>#NUM!</v>
      </c>
      <c r="V193" s="187" t="e">
        <f t="shared" si="55"/>
        <v>#NUM!</v>
      </c>
      <c r="W193" s="204" t="e">
        <f t="shared" si="56"/>
        <v>#DIV/0!</v>
      </c>
      <c r="X193" s="204" t="e">
        <f t="shared" si="57"/>
        <v>#DIV/0!</v>
      </c>
      <c r="Y193" s="204" t="e">
        <f t="shared" si="58"/>
        <v>#DIV/0!</v>
      </c>
    </row>
    <row r="194" spans="1:25" x14ac:dyDescent="0.2">
      <c r="A194" s="201">
        <v>0</v>
      </c>
      <c r="B194" s="14">
        <f t="shared" si="62"/>
        <v>0</v>
      </c>
      <c r="C194" s="14" t="e">
        <f t="shared" si="44"/>
        <v>#NUM!</v>
      </c>
      <c r="D194" s="202" t="e">
        <f t="shared" si="63"/>
        <v>#NUM!</v>
      </c>
      <c r="E194" s="203" t="e">
        <f t="shared" si="59"/>
        <v>#DIV/0!</v>
      </c>
      <c r="F194" s="201" t="e">
        <f t="shared" si="45"/>
        <v>#DIV/0!</v>
      </c>
      <c r="G194" s="201"/>
      <c r="H194" s="207">
        <f t="shared" si="46"/>
        <v>0</v>
      </c>
      <c r="I194" s="201" t="e">
        <f t="shared" si="43"/>
        <v>#NUM!</v>
      </c>
      <c r="J194" s="204" t="e">
        <f t="shared" si="47"/>
        <v>#DIV/0!</v>
      </c>
      <c r="K194" s="204" t="e">
        <f t="shared" si="48"/>
        <v>#DIV/0!</v>
      </c>
      <c r="L194" s="204" t="e">
        <f t="shared" si="49"/>
        <v>#DIV/0!</v>
      </c>
      <c r="M194" s="277" t="e">
        <f t="shared" si="60"/>
        <v>#NUM!</v>
      </c>
      <c r="N194" s="201"/>
      <c r="O194" s="205" t="e">
        <f t="shared" si="61"/>
        <v>#DIV/0!</v>
      </c>
      <c r="Q194" s="201" t="e">
        <f t="shared" si="50"/>
        <v>#DIV/0!</v>
      </c>
      <c r="R194" s="204" t="e">
        <f t="shared" si="51"/>
        <v>#DIV/0!</v>
      </c>
      <c r="S194" s="204" t="e">
        <f t="shared" si="52"/>
        <v>#DIV/0!</v>
      </c>
      <c r="T194" s="204" t="e">
        <f t="shared" si="53"/>
        <v>#DIV/0!</v>
      </c>
      <c r="U194" s="105" t="e">
        <f t="shared" si="54"/>
        <v>#NUM!</v>
      </c>
      <c r="V194" s="187" t="e">
        <f t="shared" si="55"/>
        <v>#NUM!</v>
      </c>
      <c r="W194" s="204" t="e">
        <f t="shared" si="56"/>
        <v>#DIV/0!</v>
      </c>
      <c r="X194" s="204" t="e">
        <f t="shared" si="57"/>
        <v>#DIV/0!</v>
      </c>
      <c r="Y194" s="204" t="e">
        <f t="shared" si="58"/>
        <v>#DIV/0!</v>
      </c>
    </row>
    <row r="195" spans="1:25" x14ac:dyDescent="0.2">
      <c r="A195" s="201">
        <v>0</v>
      </c>
      <c r="B195" s="14">
        <f t="shared" si="62"/>
        <v>0</v>
      </c>
      <c r="C195" s="14" t="e">
        <f t="shared" si="44"/>
        <v>#NUM!</v>
      </c>
      <c r="D195" s="202" t="e">
        <f t="shared" si="63"/>
        <v>#NUM!</v>
      </c>
      <c r="E195" s="203" t="e">
        <f t="shared" si="59"/>
        <v>#DIV/0!</v>
      </c>
      <c r="F195" s="201" t="e">
        <f t="shared" si="45"/>
        <v>#DIV/0!</v>
      </c>
      <c r="G195" s="201"/>
      <c r="H195" s="207">
        <f t="shared" si="46"/>
        <v>0</v>
      </c>
      <c r="I195" s="201" t="e">
        <f t="shared" si="43"/>
        <v>#NUM!</v>
      </c>
      <c r="J195" s="204" t="e">
        <f t="shared" si="47"/>
        <v>#DIV/0!</v>
      </c>
      <c r="K195" s="204" t="e">
        <f t="shared" si="48"/>
        <v>#DIV/0!</v>
      </c>
      <c r="L195" s="204" t="e">
        <f t="shared" si="49"/>
        <v>#DIV/0!</v>
      </c>
      <c r="M195" s="277" t="e">
        <f t="shared" si="60"/>
        <v>#NUM!</v>
      </c>
      <c r="N195" s="201"/>
      <c r="O195" s="205" t="e">
        <f t="shared" si="61"/>
        <v>#DIV/0!</v>
      </c>
      <c r="Q195" s="201" t="e">
        <f t="shared" si="50"/>
        <v>#DIV/0!</v>
      </c>
      <c r="R195" s="204" t="e">
        <f t="shared" si="51"/>
        <v>#DIV/0!</v>
      </c>
      <c r="S195" s="204" t="e">
        <f t="shared" si="52"/>
        <v>#DIV/0!</v>
      </c>
      <c r="T195" s="204" t="e">
        <f t="shared" si="53"/>
        <v>#DIV/0!</v>
      </c>
      <c r="U195" s="105" t="e">
        <f t="shared" si="54"/>
        <v>#NUM!</v>
      </c>
      <c r="V195" s="187" t="e">
        <f t="shared" si="55"/>
        <v>#NUM!</v>
      </c>
      <c r="W195" s="204" t="e">
        <f t="shared" si="56"/>
        <v>#DIV/0!</v>
      </c>
      <c r="X195" s="204" t="e">
        <f t="shared" si="57"/>
        <v>#DIV/0!</v>
      </c>
      <c r="Y195" s="204" t="e">
        <f t="shared" si="58"/>
        <v>#DIV/0!</v>
      </c>
    </row>
    <row r="196" spans="1:25" x14ac:dyDescent="0.2">
      <c r="A196" s="201">
        <v>0</v>
      </c>
      <c r="B196" s="14">
        <f t="shared" si="62"/>
        <v>0</v>
      </c>
      <c r="C196" s="14" t="e">
        <f t="shared" si="44"/>
        <v>#NUM!</v>
      </c>
      <c r="D196" s="202" t="e">
        <f t="shared" si="63"/>
        <v>#NUM!</v>
      </c>
      <c r="E196" s="203" t="e">
        <f t="shared" si="59"/>
        <v>#DIV/0!</v>
      </c>
      <c r="F196" s="201" t="e">
        <f t="shared" si="45"/>
        <v>#DIV/0!</v>
      </c>
      <c r="G196" s="201"/>
      <c r="H196" s="207">
        <f t="shared" si="46"/>
        <v>0</v>
      </c>
      <c r="I196" s="201" t="e">
        <f t="shared" si="43"/>
        <v>#NUM!</v>
      </c>
      <c r="J196" s="204" t="e">
        <f t="shared" si="47"/>
        <v>#DIV/0!</v>
      </c>
      <c r="K196" s="204" t="e">
        <f t="shared" si="48"/>
        <v>#DIV/0!</v>
      </c>
      <c r="L196" s="204" t="e">
        <f t="shared" si="49"/>
        <v>#DIV/0!</v>
      </c>
      <c r="M196" s="277" t="e">
        <f t="shared" si="60"/>
        <v>#NUM!</v>
      </c>
      <c r="N196" s="201"/>
      <c r="O196" s="205" t="e">
        <f t="shared" si="61"/>
        <v>#DIV/0!</v>
      </c>
      <c r="Q196" s="201" t="e">
        <f t="shared" si="50"/>
        <v>#DIV/0!</v>
      </c>
      <c r="R196" s="204" t="e">
        <f t="shared" si="51"/>
        <v>#DIV/0!</v>
      </c>
      <c r="S196" s="204" t="e">
        <f t="shared" si="52"/>
        <v>#DIV/0!</v>
      </c>
      <c r="T196" s="204" t="e">
        <f t="shared" si="53"/>
        <v>#DIV/0!</v>
      </c>
      <c r="U196" s="105" t="e">
        <f t="shared" si="54"/>
        <v>#NUM!</v>
      </c>
      <c r="V196" s="187" t="e">
        <f t="shared" si="55"/>
        <v>#NUM!</v>
      </c>
      <c r="W196" s="204" t="e">
        <f t="shared" si="56"/>
        <v>#DIV/0!</v>
      </c>
      <c r="X196" s="204" t="e">
        <f t="shared" si="57"/>
        <v>#DIV/0!</v>
      </c>
      <c r="Y196" s="204" t="e">
        <f t="shared" si="58"/>
        <v>#DIV/0!</v>
      </c>
    </row>
    <row r="197" spans="1:25" x14ac:dyDescent="0.2">
      <c r="A197" s="201">
        <v>0</v>
      </c>
      <c r="B197" s="14">
        <f t="shared" si="62"/>
        <v>0</v>
      </c>
      <c r="C197" s="14" t="e">
        <f t="shared" si="44"/>
        <v>#NUM!</v>
      </c>
      <c r="D197" s="202" t="e">
        <f t="shared" si="63"/>
        <v>#NUM!</v>
      </c>
      <c r="E197" s="203" t="e">
        <f t="shared" si="59"/>
        <v>#DIV/0!</v>
      </c>
      <c r="F197" s="201" t="e">
        <f t="shared" si="45"/>
        <v>#DIV/0!</v>
      </c>
      <c r="G197" s="201"/>
      <c r="H197" s="207">
        <f t="shared" si="46"/>
        <v>0</v>
      </c>
      <c r="I197" s="201" t="e">
        <f t="shared" si="43"/>
        <v>#NUM!</v>
      </c>
      <c r="J197" s="204" t="e">
        <f t="shared" si="47"/>
        <v>#DIV/0!</v>
      </c>
      <c r="K197" s="204" t="e">
        <f t="shared" si="48"/>
        <v>#DIV/0!</v>
      </c>
      <c r="L197" s="204" t="e">
        <f t="shared" si="49"/>
        <v>#DIV/0!</v>
      </c>
      <c r="M197" s="277" t="e">
        <f t="shared" si="60"/>
        <v>#NUM!</v>
      </c>
      <c r="N197" s="201"/>
      <c r="O197" s="205" t="e">
        <f t="shared" si="61"/>
        <v>#DIV/0!</v>
      </c>
      <c r="Q197" s="201" t="e">
        <f t="shared" si="50"/>
        <v>#DIV/0!</v>
      </c>
      <c r="R197" s="204" t="e">
        <f t="shared" si="51"/>
        <v>#DIV/0!</v>
      </c>
      <c r="S197" s="204" t="e">
        <f t="shared" si="52"/>
        <v>#DIV/0!</v>
      </c>
      <c r="T197" s="204" t="e">
        <f t="shared" si="53"/>
        <v>#DIV/0!</v>
      </c>
      <c r="U197" s="105" t="e">
        <f t="shared" si="54"/>
        <v>#NUM!</v>
      </c>
      <c r="V197" s="187" t="e">
        <f t="shared" si="55"/>
        <v>#NUM!</v>
      </c>
      <c r="W197" s="204" t="e">
        <f t="shared" si="56"/>
        <v>#DIV/0!</v>
      </c>
      <c r="X197" s="204" t="e">
        <f t="shared" si="57"/>
        <v>#DIV/0!</v>
      </c>
      <c r="Y197" s="204" t="e">
        <f t="shared" si="58"/>
        <v>#DIV/0!</v>
      </c>
    </row>
    <row r="198" spans="1:25" x14ac:dyDescent="0.2">
      <c r="A198" s="201">
        <v>0</v>
      </c>
      <c r="B198" s="14">
        <f t="shared" si="62"/>
        <v>0</v>
      </c>
      <c r="C198" s="14" t="e">
        <f t="shared" si="44"/>
        <v>#NUM!</v>
      </c>
      <c r="D198" s="202" t="e">
        <f t="shared" si="63"/>
        <v>#NUM!</v>
      </c>
      <c r="E198" s="203" t="e">
        <f t="shared" si="59"/>
        <v>#DIV/0!</v>
      </c>
      <c r="F198" s="201" t="e">
        <f t="shared" si="45"/>
        <v>#DIV/0!</v>
      </c>
      <c r="G198" s="201"/>
      <c r="H198" s="207">
        <f t="shared" si="46"/>
        <v>0</v>
      </c>
      <c r="I198" s="201" t="e">
        <f t="shared" si="43"/>
        <v>#NUM!</v>
      </c>
      <c r="J198" s="204" t="e">
        <f t="shared" si="47"/>
        <v>#DIV/0!</v>
      </c>
      <c r="K198" s="204" t="e">
        <f t="shared" si="48"/>
        <v>#DIV/0!</v>
      </c>
      <c r="L198" s="204" t="e">
        <f t="shared" si="49"/>
        <v>#DIV/0!</v>
      </c>
      <c r="M198" s="277" t="e">
        <f t="shared" si="60"/>
        <v>#NUM!</v>
      </c>
      <c r="N198" s="201"/>
      <c r="O198" s="205" t="e">
        <f t="shared" si="61"/>
        <v>#DIV/0!</v>
      </c>
      <c r="Q198" s="201" t="e">
        <f t="shared" si="50"/>
        <v>#DIV/0!</v>
      </c>
      <c r="R198" s="204" t="e">
        <f t="shared" si="51"/>
        <v>#DIV/0!</v>
      </c>
      <c r="S198" s="204" t="e">
        <f t="shared" si="52"/>
        <v>#DIV/0!</v>
      </c>
      <c r="T198" s="204" t="e">
        <f t="shared" si="53"/>
        <v>#DIV/0!</v>
      </c>
      <c r="U198" s="105" t="e">
        <f t="shared" si="54"/>
        <v>#NUM!</v>
      </c>
      <c r="V198" s="187" t="e">
        <f t="shared" si="55"/>
        <v>#NUM!</v>
      </c>
      <c r="W198" s="204" t="e">
        <f t="shared" si="56"/>
        <v>#DIV/0!</v>
      </c>
      <c r="X198" s="204" t="e">
        <f t="shared" si="57"/>
        <v>#DIV/0!</v>
      </c>
      <c r="Y198" s="204" t="e">
        <f t="shared" si="58"/>
        <v>#DIV/0!</v>
      </c>
    </row>
    <row r="199" spans="1:25" x14ac:dyDescent="0.2">
      <c r="A199" s="201">
        <v>0</v>
      </c>
      <c r="B199" s="14">
        <f t="shared" si="62"/>
        <v>0</v>
      </c>
      <c r="C199" s="14" t="e">
        <f t="shared" si="44"/>
        <v>#NUM!</v>
      </c>
      <c r="D199" s="202" t="e">
        <f t="shared" si="63"/>
        <v>#NUM!</v>
      </c>
      <c r="E199" s="203" t="e">
        <f t="shared" si="59"/>
        <v>#DIV/0!</v>
      </c>
      <c r="F199" s="201" t="e">
        <f t="shared" si="45"/>
        <v>#DIV/0!</v>
      </c>
      <c r="G199" s="201"/>
      <c r="H199" s="207">
        <f t="shared" si="46"/>
        <v>0</v>
      </c>
      <c r="I199" s="201" t="e">
        <f t="shared" si="43"/>
        <v>#NUM!</v>
      </c>
      <c r="J199" s="204" t="e">
        <f t="shared" si="47"/>
        <v>#DIV/0!</v>
      </c>
      <c r="K199" s="204" t="e">
        <f t="shared" si="48"/>
        <v>#DIV/0!</v>
      </c>
      <c r="L199" s="204" t="e">
        <f t="shared" si="49"/>
        <v>#DIV/0!</v>
      </c>
      <c r="M199" s="277" t="e">
        <f t="shared" si="60"/>
        <v>#NUM!</v>
      </c>
      <c r="N199" s="201"/>
      <c r="O199" s="205" t="e">
        <f t="shared" si="61"/>
        <v>#DIV/0!</v>
      </c>
      <c r="Q199" s="201" t="e">
        <f t="shared" si="50"/>
        <v>#DIV/0!</v>
      </c>
      <c r="R199" s="204" t="e">
        <f t="shared" si="51"/>
        <v>#DIV/0!</v>
      </c>
      <c r="S199" s="204" t="e">
        <f t="shared" si="52"/>
        <v>#DIV/0!</v>
      </c>
      <c r="T199" s="204" t="e">
        <f t="shared" si="53"/>
        <v>#DIV/0!</v>
      </c>
      <c r="U199" s="105" t="e">
        <f t="shared" si="54"/>
        <v>#NUM!</v>
      </c>
      <c r="V199" s="187" t="e">
        <f t="shared" si="55"/>
        <v>#NUM!</v>
      </c>
      <c r="W199" s="204" t="e">
        <f t="shared" si="56"/>
        <v>#DIV/0!</v>
      </c>
      <c r="X199" s="204" t="e">
        <f t="shared" si="57"/>
        <v>#DIV/0!</v>
      </c>
      <c r="Y199" s="204" t="e">
        <f t="shared" si="58"/>
        <v>#DIV/0!</v>
      </c>
    </row>
    <row r="200" spans="1:25" x14ac:dyDescent="0.2">
      <c r="A200" s="201">
        <v>0</v>
      </c>
      <c r="B200" s="14">
        <f t="shared" si="62"/>
        <v>0</v>
      </c>
      <c r="C200" s="14" t="e">
        <f t="shared" si="44"/>
        <v>#NUM!</v>
      </c>
      <c r="D200" s="202" t="e">
        <f t="shared" si="63"/>
        <v>#NUM!</v>
      </c>
      <c r="E200" s="203" t="e">
        <f t="shared" si="59"/>
        <v>#DIV/0!</v>
      </c>
      <c r="F200" s="201" t="e">
        <f t="shared" si="45"/>
        <v>#DIV/0!</v>
      </c>
      <c r="G200" s="201"/>
      <c r="H200" s="207">
        <f t="shared" si="46"/>
        <v>0</v>
      </c>
      <c r="I200" s="201" t="e">
        <f t="shared" si="43"/>
        <v>#NUM!</v>
      </c>
      <c r="J200" s="204" t="e">
        <f t="shared" si="47"/>
        <v>#DIV/0!</v>
      </c>
      <c r="K200" s="204" t="e">
        <f t="shared" si="48"/>
        <v>#DIV/0!</v>
      </c>
      <c r="L200" s="204" t="e">
        <f t="shared" si="49"/>
        <v>#DIV/0!</v>
      </c>
      <c r="M200" s="277" t="e">
        <f t="shared" si="60"/>
        <v>#NUM!</v>
      </c>
      <c r="N200" s="201"/>
      <c r="O200" s="205" t="e">
        <f t="shared" si="61"/>
        <v>#DIV/0!</v>
      </c>
      <c r="Q200" s="201" t="e">
        <f t="shared" si="50"/>
        <v>#DIV/0!</v>
      </c>
      <c r="R200" s="204" t="e">
        <f t="shared" si="51"/>
        <v>#DIV/0!</v>
      </c>
      <c r="S200" s="204" t="e">
        <f t="shared" si="52"/>
        <v>#DIV/0!</v>
      </c>
      <c r="T200" s="204" t="e">
        <f t="shared" si="53"/>
        <v>#DIV/0!</v>
      </c>
      <c r="U200" s="105" t="e">
        <f t="shared" si="54"/>
        <v>#NUM!</v>
      </c>
      <c r="V200" s="187" t="e">
        <f t="shared" si="55"/>
        <v>#NUM!</v>
      </c>
      <c r="W200" s="204" t="e">
        <f t="shared" si="56"/>
        <v>#DIV/0!</v>
      </c>
      <c r="X200" s="204" t="e">
        <f t="shared" si="57"/>
        <v>#DIV/0!</v>
      </c>
      <c r="Y200" s="204" t="e">
        <f t="shared" si="58"/>
        <v>#DIV/0!</v>
      </c>
    </row>
    <row r="201" spans="1:25" x14ac:dyDescent="0.2">
      <c r="A201" s="201">
        <v>0</v>
      </c>
      <c r="B201" s="14">
        <f t="shared" si="62"/>
        <v>0</v>
      </c>
      <c r="C201" s="14" t="e">
        <f t="shared" si="44"/>
        <v>#NUM!</v>
      </c>
      <c r="D201" s="202" t="e">
        <f t="shared" si="63"/>
        <v>#NUM!</v>
      </c>
      <c r="E201" s="203" t="e">
        <f t="shared" si="59"/>
        <v>#DIV/0!</v>
      </c>
      <c r="F201" s="201" t="e">
        <f t="shared" si="45"/>
        <v>#DIV/0!</v>
      </c>
      <c r="G201" s="201"/>
      <c r="H201" s="207">
        <f t="shared" si="46"/>
        <v>0</v>
      </c>
      <c r="I201" s="201" t="e">
        <f t="shared" si="43"/>
        <v>#NUM!</v>
      </c>
      <c r="J201" s="204" t="e">
        <f t="shared" si="47"/>
        <v>#DIV/0!</v>
      </c>
      <c r="K201" s="204" t="e">
        <f t="shared" si="48"/>
        <v>#DIV/0!</v>
      </c>
      <c r="L201" s="204" t="e">
        <f t="shared" si="49"/>
        <v>#DIV/0!</v>
      </c>
      <c r="M201" s="277" t="e">
        <f t="shared" si="60"/>
        <v>#NUM!</v>
      </c>
      <c r="N201" s="201"/>
      <c r="O201" s="205" t="e">
        <f t="shared" si="61"/>
        <v>#DIV/0!</v>
      </c>
      <c r="Q201" s="201" t="e">
        <f t="shared" si="50"/>
        <v>#DIV/0!</v>
      </c>
      <c r="R201" s="204" t="e">
        <f t="shared" si="51"/>
        <v>#DIV/0!</v>
      </c>
      <c r="S201" s="204" t="e">
        <f t="shared" si="52"/>
        <v>#DIV/0!</v>
      </c>
      <c r="T201" s="204" t="e">
        <f t="shared" si="53"/>
        <v>#DIV/0!</v>
      </c>
      <c r="U201" s="105" t="e">
        <f t="shared" si="54"/>
        <v>#NUM!</v>
      </c>
      <c r="V201" s="187" t="e">
        <f t="shared" si="55"/>
        <v>#NUM!</v>
      </c>
      <c r="W201" s="204" t="e">
        <f t="shared" si="56"/>
        <v>#DIV/0!</v>
      </c>
      <c r="X201" s="204" t="e">
        <f t="shared" si="57"/>
        <v>#DIV/0!</v>
      </c>
      <c r="Y201" s="204" t="e">
        <f t="shared" si="58"/>
        <v>#DIV/0!</v>
      </c>
    </row>
    <row r="202" spans="1:25" x14ac:dyDescent="0.2">
      <c r="A202" s="201">
        <v>0</v>
      </c>
      <c r="B202" s="14">
        <f t="shared" si="62"/>
        <v>0</v>
      </c>
      <c r="C202" s="14" t="e">
        <f t="shared" si="44"/>
        <v>#NUM!</v>
      </c>
      <c r="D202" s="202" t="e">
        <f t="shared" si="63"/>
        <v>#NUM!</v>
      </c>
      <c r="E202" s="203" t="e">
        <f t="shared" si="59"/>
        <v>#DIV/0!</v>
      </c>
      <c r="F202" s="201" t="e">
        <f t="shared" si="45"/>
        <v>#DIV/0!</v>
      </c>
      <c r="G202" s="201"/>
      <c r="H202" s="207">
        <f t="shared" si="46"/>
        <v>0</v>
      </c>
      <c r="I202" s="201" t="e">
        <f t="shared" si="43"/>
        <v>#NUM!</v>
      </c>
      <c r="J202" s="204" t="e">
        <f t="shared" si="47"/>
        <v>#DIV/0!</v>
      </c>
      <c r="K202" s="204" t="e">
        <f t="shared" si="48"/>
        <v>#DIV/0!</v>
      </c>
      <c r="L202" s="204" t="e">
        <f t="shared" si="49"/>
        <v>#DIV/0!</v>
      </c>
      <c r="M202" s="277" t="e">
        <f t="shared" si="60"/>
        <v>#NUM!</v>
      </c>
      <c r="N202" s="201"/>
      <c r="O202" s="205" t="e">
        <f t="shared" si="61"/>
        <v>#DIV/0!</v>
      </c>
      <c r="Q202" s="201" t="e">
        <f t="shared" si="50"/>
        <v>#DIV/0!</v>
      </c>
      <c r="R202" s="204" t="e">
        <f t="shared" si="51"/>
        <v>#DIV/0!</v>
      </c>
      <c r="S202" s="204" t="e">
        <f t="shared" si="52"/>
        <v>#DIV/0!</v>
      </c>
      <c r="T202" s="204" t="e">
        <f t="shared" si="53"/>
        <v>#DIV/0!</v>
      </c>
      <c r="U202" s="105" t="e">
        <f t="shared" si="54"/>
        <v>#NUM!</v>
      </c>
      <c r="V202" s="187" t="e">
        <f t="shared" si="55"/>
        <v>#NUM!</v>
      </c>
      <c r="W202" s="204" t="e">
        <f t="shared" si="56"/>
        <v>#DIV/0!</v>
      </c>
      <c r="X202" s="204" t="e">
        <f t="shared" si="57"/>
        <v>#DIV/0!</v>
      </c>
      <c r="Y202" s="204" t="e">
        <f t="shared" si="58"/>
        <v>#DIV/0!</v>
      </c>
    </row>
    <row r="203" spans="1:25" x14ac:dyDescent="0.2">
      <c r="A203" s="201">
        <v>0</v>
      </c>
      <c r="B203" s="14">
        <f t="shared" si="62"/>
        <v>0</v>
      </c>
      <c r="C203" s="14" t="e">
        <f t="shared" si="44"/>
        <v>#NUM!</v>
      </c>
      <c r="D203" s="202" t="e">
        <f t="shared" si="63"/>
        <v>#NUM!</v>
      </c>
      <c r="E203" s="203" t="e">
        <f t="shared" si="59"/>
        <v>#DIV/0!</v>
      </c>
      <c r="F203" s="201" t="e">
        <f t="shared" si="45"/>
        <v>#DIV/0!</v>
      </c>
      <c r="G203" s="201"/>
      <c r="H203" s="207">
        <f t="shared" si="46"/>
        <v>0</v>
      </c>
      <c r="I203" s="201" t="e">
        <f t="shared" si="43"/>
        <v>#NUM!</v>
      </c>
      <c r="J203" s="204" t="e">
        <f t="shared" si="47"/>
        <v>#DIV/0!</v>
      </c>
      <c r="K203" s="204" t="e">
        <f t="shared" si="48"/>
        <v>#DIV/0!</v>
      </c>
      <c r="L203" s="204" t="e">
        <f t="shared" si="49"/>
        <v>#DIV/0!</v>
      </c>
      <c r="M203" s="277" t="e">
        <f t="shared" si="60"/>
        <v>#NUM!</v>
      </c>
      <c r="N203" s="201"/>
      <c r="O203" s="205" t="e">
        <f t="shared" si="61"/>
        <v>#DIV/0!</v>
      </c>
      <c r="Q203" s="201" t="e">
        <f t="shared" si="50"/>
        <v>#DIV/0!</v>
      </c>
      <c r="R203" s="204" t="e">
        <f t="shared" si="51"/>
        <v>#DIV/0!</v>
      </c>
      <c r="S203" s="204" t="e">
        <f t="shared" si="52"/>
        <v>#DIV/0!</v>
      </c>
      <c r="T203" s="204" t="e">
        <f t="shared" si="53"/>
        <v>#DIV/0!</v>
      </c>
      <c r="U203" s="105" t="e">
        <f t="shared" si="54"/>
        <v>#NUM!</v>
      </c>
      <c r="V203" s="187" t="e">
        <f t="shared" si="55"/>
        <v>#NUM!</v>
      </c>
      <c r="W203" s="204" t="e">
        <f t="shared" si="56"/>
        <v>#DIV/0!</v>
      </c>
      <c r="X203" s="204" t="e">
        <f t="shared" si="57"/>
        <v>#DIV/0!</v>
      </c>
      <c r="Y203" s="204" t="e">
        <f t="shared" si="58"/>
        <v>#DIV/0!</v>
      </c>
    </row>
    <row r="204" spans="1:25" x14ac:dyDescent="0.2">
      <c r="A204" s="201">
        <v>0</v>
      </c>
      <c r="B204" s="14">
        <f t="shared" si="62"/>
        <v>0</v>
      </c>
      <c r="C204" s="14" t="e">
        <f t="shared" si="44"/>
        <v>#NUM!</v>
      </c>
      <c r="D204" s="202" t="e">
        <f t="shared" si="63"/>
        <v>#NUM!</v>
      </c>
      <c r="E204" s="203" t="e">
        <f t="shared" si="59"/>
        <v>#DIV/0!</v>
      </c>
      <c r="F204" s="201" t="e">
        <f t="shared" si="45"/>
        <v>#DIV/0!</v>
      </c>
      <c r="G204" s="201"/>
      <c r="H204" s="207">
        <f t="shared" si="46"/>
        <v>0</v>
      </c>
      <c r="I204" s="201" t="e">
        <f t="shared" si="43"/>
        <v>#NUM!</v>
      </c>
      <c r="J204" s="204" t="e">
        <f t="shared" si="47"/>
        <v>#DIV/0!</v>
      </c>
      <c r="K204" s="204" t="e">
        <f t="shared" si="48"/>
        <v>#DIV/0!</v>
      </c>
      <c r="L204" s="204" t="e">
        <f t="shared" si="49"/>
        <v>#DIV/0!</v>
      </c>
      <c r="M204" s="277" t="e">
        <f t="shared" si="60"/>
        <v>#NUM!</v>
      </c>
      <c r="N204" s="201"/>
      <c r="O204" s="205" t="e">
        <f t="shared" si="61"/>
        <v>#DIV/0!</v>
      </c>
      <c r="Q204" s="201" t="e">
        <f t="shared" si="50"/>
        <v>#DIV/0!</v>
      </c>
      <c r="R204" s="204" t="e">
        <f t="shared" si="51"/>
        <v>#DIV/0!</v>
      </c>
      <c r="S204" s="204" t="e">
        <f t="shared" si="52"/>
        <v>#DIV/0!</v>
      </c>
      <c r="T204" s="204" t="e">
        <f t="shared" si="53"/>
        <v>#DIV/0!</v>
      </c>
      <c r="U204" s="105" t="e">
        <f t="shared" si="54"/>
        <v>#NUM!</v>
      </c>
      <c r="V204" s="187" t="e">
        <f t="shared" si="55"/>
        <v>#NUM!</v>
      </c>
      <c r="W204" s="204" t="e">
        <f t="shared" si="56"/>
        <v>#DIV/0!</v>
      </c>
      <c r="X204" s="204" t="e">
        <f t="shared" si="57"/>
        <v>#DIV/0!</v>
      </c>
      <c r="Y204" s="204" t="e">
        <f t="shared" si="58"/>
        <v>#DIV/0!</v>
      </c>
    </row>
    <row r="205" spans="1:25" x14ac:dyDescent="0.2">
      <c r="A205" s="201">
        <v>0</v>
      </c>
      <c r="B205" s="14">
        <f t="shared" si="62"/>
        <v>0</v>
      </c>
      <c r="C205" s="14" t="e">
        <f t="shared" si="44"/>
        <v>#NUM!</v>
      </c>
      <c r="D205" s="202" t="e">
        <f t="shared" si="63"/>
        <v>#NUM!</v>
      </c>
      <c r="E205" s="203" t="e">
        <f t="shared" si="59"/>
        <v>#DIV/0!</v>
      </c>
      <c r="F205" s="201" t="e">
        <f t="shared" si="45"/>
        <v>#DIV/0!</v>
      </c>
      <c r="G205" s="201"/>
      <c r="H205" s="207">
        <f t="shared" si="46"/>
        <v>0</v>
      </c>
      <c r="I205" s="201" t="e">
        <f t="shared" si="43"/>
        <v>#NUM!</v>
      </c>
      <c r="J205" s="204" t="e">
        <f t="shared" si="47"/>
        <v>#DIV/0!</v>
      </c>
      <c r="K205" s="204" t="e">
        <f t="shared" si="48"/>
        <v>#DIV/0!</v>
      </c>
      <c r="L205" s="204" t="e">
        <f t="shared" si="49"/>
        <v>#DIV/0!</v>
      </c>
      <c r="M205" s="277" t="e">
        <f t="shared" si="60"/>
        <v>#NUM!</v>
      </c>
      <c r="N205" s="201"/>
      <c r="O205" s="205" t="e">
        <f t="shared" si="61"/>
        <v>#DIV/0!</v>
      </c>
      <c r="Q205" s="201" t="e">
        <f t="shared" si="50"/>
        <v>#DIV/0!</v>
      </c>
      <c r="R205" s="204" t="e">
        <f t="shared" si="51"/>
        <v>#DIV/0!</v>
      </c>
      <c r="S205" s="204" t="e">
        <f t="shared" si="52"/>
        <v>#DIV/0!</v>
      </c>
      <c r="T205" s="204" t="e">
        <f t="shared" si="53"/>
        <v>#DIV/0!</v>
      </c>
      <c r="U205" s="105" t="e">
        <f t="shared" si="54"/>
        <v>#NUM!</v>
      </c>
      <c r="V205" s="187" t="e">
        <f t="shared" si="55"/>
        <v>#NUM!</v>
      </c>
      <c r="W205" s="204" t="e">
        <f t="shared" si="56"/>
        <v>#DIV/0!</v>
      </c>
      <c r="X205" s="204" t="e">
        <f t="shared" si="57"/>
        <v>#DIV/0!</v>
      </c>
      <c r="Y205" s="204" t="e">
        <f t="shared" si="58"/>
        <v>#DIV/0!</v>
      </c>
    </row>
    <row r="206" spans="1:25" x14ac:dyDescent="0.2">
      <c r="A206" s="201">
        <v>0</v>
      </c>
      <c r="B206" s="14">
        <f t="shared" si="62"/>
        <v>0</v>
      </c>
      <c r="C206" s="14" t="e">
        <f t="shared" si="44"/>
        <v>#NUM!</v>
      </c>
      <c r="D206" s="202" t="e">
        <f t="shared" si="63"/>
        <v>#NUM!</v>
      </c>
      <c r="E206" s="203" t="e">
        <f t="shared" si="59"/>
        <v>#DIV/0!</v>
      </c>
      <c r="F206" s="201" t="e">
        <f t="shared" si="45"/>
        <v>#DIV/0!</v>
      </c>
      <c r="G206" s="201"/>
      <c r="H206" s="207">
        <f t="shared" si="46"/>
        <v>0</v>
      </c>
      <c r="I206" s="201" t="e">
        <f t="shared" si="43"/>
        <v>#NUM!</v>
      </c>
      <c r="J206" s="204" t="e">
        <f t="shared" si="47"/>
        <v>#DIV/0!</v>
      </c>
      <c r="K206" s="204" t="e">
        <f t="shared" si="48"/>
        <v>#DIV/0!</v>
      </c>
      <c r="L206" s="204" t="e">
        <f t="shared" si="49"/>
        <v>#DIV/0!</v>
      </c>
      <c r="M206" s="277" t="e">
        <f t="shared" si="60"/>
        <v>#NUM!</v>
      </c>
      <c r="N206" s="201"/>
      <c r="O206" s="205" t="e">
        <f t="shared" si="61"/>
        <v>#DIV/0!</v>
      </c>
      <c r="Q206" s="201" t="e">
        <f t="shared" si="50"/>
        <v>#DIV/0!</v>
      </c>
      <c r="R206" s="204" t="e">
        <f t="shared" si="51"/>
        <v>#DIV/0!</v>
      </c>
      <c r="S206" s="204" t="e">
        <f t="shared" si="52"/>
        <v>#DIV/0!</v>
      </c>
      <c r="T206" s="204" t="e">
        <f t="shared" si="53"/>
        <v>#DIV/0!</v>
      </c>
      <c r="U206" s="105" t="e">
        <f t="shared" si="54"/>
        <v>#NUM!</v>
      </c>
      <c r="V206" s="187" t="e">
        <f t="shared" si="55"/>
        <v>#NUM!</v>
      </c>
      <c r="W206" s="204" t="e">
        <f t="shared" si="56"/>
        <v>#DIV/0!</v>
      </c>
      <c r="X206" s="204" t="e">
        <f t="shared" si="57"/>
        <v>#DIV/0!</v>
      </c>
      <c r="Y206" s="204" t="e">
        <f t="shared" si="58"/>
        <v>#DIV/0!</v>
      </c>
    </row>
    <row r="207" spans="1:25" x14ac:dyDescent="0.2">
      <c r="A207" s="201">
        <v>0</v>
      </c>
      <c r="B207" s="14">
        <f t="shared" si="62"/>
        <v>0</v>
      </c>
      <c r="C207" s="14" t="e">
        <f t="shared" si="44"/>
        <v>#NUM!</v>
      </c>
      <c r="D207" s="202" t="e">
        <f t="shared" si="63"/>
        <v>#NUM!</v>
      </c>
      <c r="E207" s="203" t="e">
        <f t="shared" si="59"/>
        <v>#DIV/0!</v>
      </c>
      <c r="F207" s="201" t="e">
        <f t="shared" si="45"/>
        <v>#DIV/0!</v>
      </c>
      <c r="G207" s="201"/>
      <c r="H207" s="207">
        <f t="shared" si="46"/>
        <v>0</v>
      </c>
      <c r="I207" s="201" t="e">
        <f t="shared" si="43"/>
        <v>#NUM!</v>
      </c>
      <c r="J207" s="204" t="e">
        <f t="shared" si="47"/>
        <v>#DIV/0!</v>
      </c>
      <c r="K207" s="204" t="e">
        <f t="shared" si="48"/>
        <v>#DIV/0!</v>
      </c>
      <c r="L207" s="204" t="e">
        <f t="shared" si="49"/>
        <v>#DIV/0!</v>
      </c>
      <c r="M207" s="277" t="e">
        <f t="shared" si="60"/>
        <v>#NUM!</v>
      </c>
      <c r="N207" s="201"/>
      <c r="O207" s="205" t="e">
        <f t="shared" si="61"/>
        <v>#DIV/0!</v>
      </c>
      <c r="Q207" s="201" t="e">
        <f t="shared" si="50"/>
        <v>#DIV/0!</v>
      </c>
      <c r="R207" s="204" t="e">
        <f t="shared" si="51"/>
        <v>#DIV/0!</v>
      </c>
      <c r="S207" s="204" t="e">
        <f t="shared" si="52"/>
        <v>#DIV/0!</v>
      </c>
      <c r="T207" s="204" t="e">
        <f t="shared" si="53"/>
        <v>#DIV/0!</v>
      </c>
      <c r="U207" s="105" t="e">
        <f t="shared" si="54"/>
        <v>#NUM!</v>
      </c>
      <c r="V207" s="187" t="e">
        <f t="shared" si="55"/>
        <v>#NUM!</v>
      </c>
      <c r="W207" s="204" t="e">
        <f t="shared" si="56"/>
        <v>#DIV/0!</v>
      </c>
      <c r="X207" s="204" t="e">
        <f t="shared" si="57"/>
        <v>#DIV/0!</v>
      </c>
      <c r="Y207" s="204" t="e">
        <f t="shared" si="58"/>
        <v>#DIV/0!</v>
      </c>
    </row>
    <row r="208" spans="1:25" x14ac:dyDescent="0.2">
      <c r="A208" s="201">
        <v>0</v>
      </c>
      <c r="B208" s="14">
        <f t="shared" si="62"/>
        <v>0</v>
      </c>
      <c r="C208" s="14" t="e">
        <f t="shared" si="44"/>
        <v>#NUM!</v>
      </c>
      <c r="D208" s="202" t="e">
        <f t="shared" si="63"/>
        <v>#NUM!</v>
      </c>
      <c r="E208" s="203" t="e">
        <f t="shared" si="59"/>
        <v>#DIV/0!</v>
      </c>
      <c r="F208" s="201" t="e">
        <f t="shared" si="45"/>
        <v>#DIV/0!</v>
      </c>
      <c r="G208" s="201"/>
      <c r="H208" s="207">
        <f t="shared" si="46"/>
        <v>0</v>
      </c>
      <c r="I208" s="201" t="e">
        <f t="shared" si="43"/>
        <v>#NUM!</v>
      </c>
      <c r="J208" s="204" t="e">
        <f t="shared" si="47"/>
        <v>#DIV/0!</v>
      </c>
      <c r="K208" s="204" t="e">
        <f t="shared" si="48"/>
        <v>#DIV/0!</v>
      </c>
      <c r="L208" s="204" t="e">
        <f t="shared" si="49"/>
        <v>#DIV/0!</v>
      </c>
      <c r="M208" s="277" t="e">
        <f t="shared" si="60"/>
        <v>#NUM!</v>
      </c>
      <c r="N208" s="201"/>
      <c r="O208" s="205" t="e">
        <f t="shared" si="61"/>
        <v>#DIV/0!</v>
      </c>
      <c r="Q208" s="201" t="e">
        <f t="shared" si="50"/>
        <v>#DIV/0!</v>
      </c>
      <c r="R208" s="204" t="e">
        <f t="shared" si="51"/>
        <v>#DIV/0!</v>
      </c>
      <c r="S208" s="204" t="e">
        <f t="shared" si="52"/>
        <v>#DIV/0!</v>
      </c>
      <c r="T208" s="204" t="e">
        <f t="shared" si="53"/>
        <v>#DIV/0!</v>
      </c>
      <c r="U208" s="105" t="e">
        <f t="shared" si="54"/>
        <v>#NUM!</v>
      </c>
      <c r="V208" s="187" t="e">
        <f t="shared" si="55"/>
        <v>#NUM!</v>
      </c>
      <c r="W208" s="204" t="e">
        <f t="shared" si="56"/>
        <v>#DIV/0!</v>
      </c>
      <c r="X208" s="204" t="e">
        <f t="shared" si="57"/>
        <v>#DIV/0!</v>
      </c>
      <c r="Y208" s="204" t="e">
        <f t="shared" si="58"/>
        <v>#DIV/0!</v>
      </c>
    </row>
    <row r="209" spans="1:25" x14ac:dyDescent="0.2">
      <c r="A209" s="201">
        <v>0</v>
      </c>
      <c r="B209" s="14">
        <f t="shared" si="62"/>
        <v>0</v>
      </c>
      <c r="C209" s="14" t="e">
        <f t="shared" si="44"/>
        <v>#NUM!</v>
      </c>
      <c r="D209" s="202" t="e">
        <f t="shared" si="63"/>
        <v>#NUM!</v>
      </c>
      <c r="E209" s="203" t="e">
        <f t="shared" si="59"/>
        <v>#DIV/0!</v>
      </c>
      <c r="F209" s="201" t="e">
        <f t="shared" si="45"/>
        <v>#DIV/0!</v>
      </c>
      <c r="G209" s="201"/>
      <c r="H209" s="207">
        <f t="shared" si="46"/>
        <v>0</v>
      </c>
      <c r="I209" s="201" t="e">
        <f t="shared" si="43"/>
        <v>#NUM!</v>
      </c>
      <c r="J209" s="204" t="e">
        <f t="shared" si="47"/>
        <v>#DIV/0!</v>
      </c>
      <c r="K209" s="204" t="e">
        <f t="shared" si="48"/>
        <v>#DIV/0!</v>
      </c>
      <c r="L209" s="204" t="e">
        <f t="shared" si="49"/>
        <v>#DIV/0!</v>
      </c>
      <c r="M209" s="277" t="e">
        <f t="shared" si="60"/>
        <v>#NUM!</v>
      </c>
      <c r="N209" s="201"/>
      <c r="O209" s="205" t="e">
        <f t="shared" si="61"/>
        <v>#DIV/0!</v>
      </c>
      <c r="Q209" s="201" t="e">
        <f t="shared" si="50"/>
        <v>#DIV/0!</v>
      </c>
      <c r="R209" s="204" t="e">
        <f t="shared" si="51"/>
        <v>#DIV/0!</v>
      </c>
      <c r="S209" s="204" t="e">
        <f t="shared" si="52"/>
        <v>#DIV/0!</v>
      </c>
      <c r="T209" s="204" t="e">
        <f t="shared" si="53"/>
        <v>#DIV/0!</v>
      </c>
      <c r="U209" s="105" t="e">
        <f t="shared" si="54"/>
        <v>#NUM!</v>
      </c>
      <c r="V209" s="187" t="e">
        <f t="shared" si="55"/>
        <v>#NUM!</v>
      </c>
      <c r="W209" s="204" t="e">
        <f t="shared" si="56"/>
        <v>#DIV/0!</v>
      </c>
      <c r="X209" s="204" t="e">
        <f t="shared" si="57"/>
        <v>#DIV/0!</v>
      </c>
      <c r="Y209" s="204" t="e">
        <f t="shared" si="58"/>
        <v>#DIV/0!</v>
      </c>
    </row>
    <row r="210" spans="1:25" x14ac:dyDescent="0.2">
      <c r="A210" s="201">
        <v>0</v>
      </c>
      <c r="B210" s="14">
        <f t="shared" si="62"/>
        <v>0</v>
      </c>
      <c r="C210" s="14" t="e">
        <f t="shared" si="44"/>
        <v>#NUM!</v>
      </c>
      <c r="D210" s="202" t="e">
        <f t="shared" si="63"/>
        <v>#NUM!</v>
      </c>
      <c r="E210" s="203" t="e">
        <f t="shared" si="59"/>
        <v>#DIV/0!</v>
      </c>
      <c r="F210" s="201" t="e">
        <f t="shared" si="45"/>
        <v>#DIV/0!</v>
      </c>
      <c r="G210" s="201"/>
      <c r="H210" s="207">
        <f t="shared" si="46"/>
        <v>0</v>
      </c>
      <c r="I210" s="201" t="e">
        <f t="shared" si="43"/>
        <v>#NUM!</v>
      </c>
      <c r="J210" s="204" t="e">
        <f t="shared" si="47"/>
        <v>#DIV/0!</v>
      </c>
      <c r="K210" s="204" t="e">
        <f t="shared" si="48"/>
        <v>#DIV/0!</v>
      </c>
      <c r="L210" s="204" t="e">
        <f t="shared" si="49"/>
        <v>#DIV/0!</v>
      </c>
      <c r="M210" s="277" t="e">
        <f t="shared" si="60"/>
        <v>#NUM!</v>
      </c>
      <c r="N210" s="201"/>
      <c r="O210" s="205" t="e">
        <f t="shared" si="61"/>
        <v>#DIV/0!</v>
      </c>
      <c r="Q210" s="201" t="e">
        <f t="shared" si="50"/>
        <v>#DIV/0!</v>
      </c>
      <c r="R210" s="204" t="e">
        <f t="shared" si="51"/>
        <v>#DIV/0!</v>
      </c>
      <c r="S210" s="204" t="e">
        <f t="shared" si="52"/>
        <v>#DIV/0!</v>
      </c>
      <c r="T210" s="204" t="e">
        <f t="shared" si="53"/>
        <v>#DIV/0!</v>
      </c>
      <c r="U210" s="105" t="e">
        <f t="shared" si="54"/>
        <v>#NUM!</v>
      </c>
      <c r="V210" s="187" t="e">
        <f t="shared" si="55"/>
        <v>#NUM!</v>
      </c>
      <c r="W210" s="204" t="e">
        <f t="shared" si="56"/>
        <v>#DIV/0!</v>
      </c>
      <c r="X210" s="204" t="e">
        <f t="shared" si="57"/>
        <v>#DIV/0!</v>
      </c>
      <c r="Y210" s="204" t="e">
        <f t="shared" si="58"/>
        <v>#DIV/0!</v>
      </c>
    </row>
    <row r="211" spans="1:25" x14ac:dyDescent="0.2">
      <c r="A211" s="201">
        <v>0</v>
      </c>
      <c r="B211" s="14">
        <f t="shared" si="62"/>
        <v>0</v>
      </c>
      <c r="C211" s="14" t="e">
        <f t="shared" si="44"/>
        <v>#NUM!</v>
      </c>
      <c r="D211" s="202" t="e">
        <f t="shared" si="63"/>
        <v>#NUM!</v>
      </c>
      <c r="E211" s="203" t="e">
        <f t="shared" si="59"/>
        <v>#DIV/0!</v>
      </c>
      <c r="F211" s="201" t="e">
        <f t="shared" si="45"/>
        <v>#DIV/0!</v>
      </c>
      <c r="G211" s="201"/>
      <c r="H211" s="207">
        <f t="shared" si="46"/>
        <v>0</v>
      </c>
      <c r="I211" s="201" t="e">
        <f t="shared" si="43"/>
        <v>#NUM!</v>
      </c>
      <c r="J211" s="204" t="e">
        <f t="shared" si="47"/>
        <v>#DIV/0!</v>
      </c>
      <c r="K211" s="204" t="e">
        <f t="shared" si="48"/>
        <v>#DIV/0!</v>
      </c>
      <c r="L211" s="204" t="e">
        <f t="shared" si="49"/>
        <v>#DIV/0!</v>
      </c>
      <c r="M211" s="277" t="e">
        <f t="shared" si="60"/>
        <v>#NUM!</v>
      </c>
      <c r="N211" s="201"/>
      <c r="O211" s="205" t="e">
        <f t="shared" si="61"/>
        <v>#DIV/0!</v>
      </c>
      <c r="Q211" s="201" t="e">
        <f t="shared" si="50"/>
        <v>#DIV/0!</v>
      </c>
      <c r="R211" s="204" t="e">
        <f t="shared" si="51"/>
        <v>#DIV/0!</v>
      </c>
      <c r="S211" s="204" t="e">
        <f t="shared" si="52"/>
        <v>#DIV/0!</v>
      </c>
      <c r="T211" s="204" t="e">
        <f t="shared" si="53"/>
        <v>#DIV/0!</v>
      </c>
      <c r="U211" s="105" t="e">
        <f t="shared" si="54"/>
        <v>#NUM!</v>
      </c>
      <c r="V211" s="187" t="e">
        <f t="shared" si="55"/>
        <v>#NUM!</v>
      </c>
      <c r="W211" s="204" t="e">
        <f t="shared" si="56"/>
        <v>#DIV/0!</v>
      </c>
      <c r="X211" s="204" t="e">
        <f t="shared" si="57"/>
        <v>#DIV/0!</v>
      </c>
      <c r="Y211" s="204" t="e">
        <f t="shared" si="58"/>
        <v>#DIV/0!</v>
      </c>
    </row>
    <row r="212" spans="1:25" x14ac:dyDescent="0.2">
      <c r="A212" s="201">
        <v>0</v>
      </c>
      <c r="B212" s="14">
        <f t="shared" si="62"/>
        <v>0</v>
      </c>
      <c r="C212" s="14" t="e">
        <f t="shared" si="44"/>
        <v>#NUM!</v>
      </c>
      <c r="D212" s="202" t="e">
        <f t="shared" si="63"/>
        <v>#NUM!</v>
      </c>
      <c r="E212" s="203" t="e">
        <f t="shared" si="59"/>
        <v>#DIV/0!</v>
      </c>
      <c r="F212" s="201" t="e">
        <f t="shared" si="45"/>
        <v>#DIV/0!</v>
      </c>
      <c r="G212" s="201"/>
      <c r="H212" s="207">
        <f t="shared" si="46"/>
        <v>0</v>
      </c>
      <c r="I212" s="201" t="e">
        <f t="shared" si="43"/>
        <v>#NUM!</v>
      </c>
      <c r="J212" s="204" t="e">
        <f t="shared" si="47"/>
        <v>#DIV/0!</v>
      </c>
      <c r="K212" s="204" t="e">
        <f t="shared" si="48"/>
        <v>#DIV/0!</v>
      </c>
      <c r="L212" s="204" t="e">
        <f t="shared" si="49"/>
        <v>#DIV/0!</v>
      </c>
      <c r="M212" s="277" t="e">
        <f t="shared" si="60"/>
        <v>#NUM!</v>
      </c>
      <c r="N212" s="201"/>
      <c r="O212" s="205" t="e">
        <f t="shared" si="61"/>
        <v>#DIV/0!</v>
      </c>
      <c r="Q212" s="201" t="e">
        <f t="shared" si="50"/>
        <v>#DIV/0!</v>
      </c>
      <c r="R212" s="204" t="e">
        <f t="shared" si="51"/>
        <v>#DIV/0!</v>
      </c>
      <c r="S212" s="204" t="e">
        <f t="shared" si="52"/>
        <v>#DIV/0!</v>
      </c>
      <c r="T212" s="204" t="e">
        <f t="shared" si="53"/>
        <v>#DIV/0!</v>
      </c>
      <c r="U212" s="105" t="e">
        <f t="shared" si="54"/>
        <v>#NUM!</v>
      </c>
      <c r="V212" s="187" t="e">
        <f t="shared" si="55"/>
        <v>#NUM!</v>
      </c>
      <c r="W212" s="204" t="e">
        <f t="shared" si="56"/>
        <v>#DIV/0!</v>
      </c>
      <c r="X212" s="204" t="e">
        <f t="shared" si="57"/>
        <v>#DIV/0!</v>
      </c>
      <c r="Y212" s="204" t="e">
        <f t="shared" si="58"/>
        <v>#DIV/0!</v>
      </c>
    </row>
    <row r="213" spans="1:25" x14ac:dyDescent="0.2">
      <c r="A213" s="201">
        <v>0</v>
      </c>
      <c r="B213" s="14">
        <f t="shared" si="62"/>
        <v>0</v>
      </c>
      <c r="C213" s="14" t="e">
        <f t="shared" si="44"/>
        <v>#NUM!</v>
      </c>
      <c r="D213" s="202" t="e">
        <f t="shared" si="63"/>
        <v>#NUM!</v>
      </c>
      <c r="E213" s="203" t="e">
        <f t="shared" si="59"/>
        <v>#DIV/0!</v>
      </c>
      <c r="F213" s="201" t="e">
        <f t="shared" si="45"/>
        <v>#DIV/0!</v>
      </c>
      <c r="G213" s="201"/>
      <c r="H213" s="207">
        <f t="shared" si="46"/>
        <v>0</v>
      </c>
      <c r="I213" s="201" t="e">
        <f t="shared" si="43"/>
        <v>#NUM!</v>
      </c>
      <c r="J213" s="204" t="e">
        <f t="shared" si="47"/>
        <v>#DIV/0!</v>
      </c>
      <c r="K213" s="204" t="e">
        <f t="shared" si="48"/>
        <v>#DIV/0!</v>
      </c>
      <c r="L213" s="204" t="e">
        <f t="shared" si="49"/>
        <v>#DIV/0!</v>
      </c>
      <c r="M213" s="277" t="e">
        <f t="shared" si="60"/>
        <v>#NUM!</v>
      </c>
      <c r="N213" s="201"/>
      <c r="O213" s="205" t="e">
        <f t="shared" si="61"/>
        <v>#DIV/0!</v>
      </c>
      <c r="Q213" s="201" t="e">
        <f t="shared" si="50"/>
        <v>#DIV/0!</v>
      </c>
      <c r="R213" s="204" t="e">
        <f t="shared" si="51"/>
        <v>#DIV/0!</v>
      </c>
      <c r="S213" s="204" t="e">
        <f t="shared" si="52"/>
        <v>#DIV/0!</v>
      </c>
      <c r="T213" s="204" t="e">
        <f t="shared" si="53"/>
        <v>#DIV/0!</v>
      </c>
      <c r="U213" s="105" t="e">
        <f t="shared" si="54"/>
        <v>#NUM!</v>
      </c>
      <c r="V213" s="187" t="e">
        <f t="shared" si="55"/>
        <v>#NUM!</v>
      </c>
      <c r="W213" s="204" t="e">
        <f t="shared" si="56"/>
        <v>#DIV/0!</v>
      </c>
      <c r="X213" s="204" t="e">
        <f t="shared" si="57"/>
        <v>#DIV/0!</v>
      </c>
      <c r="Y213" s="204" t="e">
        <f t="shared" si="58"/>
        <v>#DIV/0!</v>
      </c>
    </row>
    <row r="214" spans="1:25" x14ac:dyDescent="0.2">
      <c r="A214" s="201">
        <v>0</v>
      </c>
      <c r="B214" s="14">
        <f t="shared" si="62"/>
        <v>0</v>
      </c>
      <c r="C214" s="14" t="e">
        <f t="shared" si="44"/>
        <v>#NUM!</v>
      </c>
      <c r="D214" s="202" t="e">
        <f t="shared" si="63"/>
        <v>#NUM!</v>
      </c>
      <c r="E214" s="203" t="e">
        <f t="shared" si="59"/>
        <v>#DIV/0!</v>
      </c>
      <c r="F214" s="201" t="e">
        <f t="shared" si="45"/>
        <v>#DIV/0!</v>
      </c>
      <c r="G214" s="201"/>
      <c r="H214" s="207">
        <f t="shared" si="46"/>
        <v>0</v>
      </c>
      <c r="I214" s="201" t="e">
        <f t="shared" si="43"/>
        <v>#NUM!</v>
      </c>
      <c r="J214" s="204" t="e">
        <f t="shared" si="47"/>
        <v>#DIV/0!</v>
      </c>
      <c r="K214" s="204" t="e">
        <f t="shared" si="48"/>
        <v>#DIV/0!</v>
      </c>
      <c r="L214" s="204" t="e">
        <f t="shared" si="49"/>
        <v>#DIV/0!</v>
      </c>
      <c r="M214" s="277" t="e">
        <f t="shared" si="60"/>
        <v>#NUM!</v>
      </c>
      <c r="N214" s="201"/>
      <c r="O214" s="205" t="e">
        <f t="shared" si="61"/>
        <v>#DIV/0!</v>
      </c>
      <c r="Q214" s="201" t="e">
        <f t="shared" si="50"/>
        <v>#DIV/0!</v>
      </c>
      <c r="R214" s="204" t="e">
        <f t="shared" si="51"/>
        <v>#DIV/0!</v>
      </c>
      <c r="S214" s="204" t="e">
        <f t="shared" si="52"/>
        <v>#DIV/0!</v>
      </c>
      <c r="T214" s="204" t="e">
        <f t="shared" si="53"/>
        <v>#DIV/0!</v>
      </c>
      <c r="U214" s="105" t="e">
        <f t="shared" si="54"/>
        <v>#NUM!</v>
      </c>
      <c r="V214" s="187" t="e">
        <f t="shared" si="55"/>
        <v>#NUM!</v>
      </c>
      <c r="W214" s="204" t="e">
        <f t="shared" si="56"/>
        <v>#DIV/0!</v>
      </c>
      <c r="X214" s="204" t="e">
        <f t="shared" si="57"/>
        <v>#DIV/0!</v>
      </c>
      <c r="Y214" s="204" t="e">
        <f t="shared" si="58"/>
        <v>#DIV/0!</v>
      </c>
    </row>
    <row r="215" spans="1:25" x14ac:dyDescent="0.2">
      <c r="A215" s="201">
        <v>0</v>
      </c>
      <c r="B215" s="14">
        <f t="shared" si="62"/>
        <v>0</v>
      </c>
      <c r="C215" s="14" t="e">
        <f t="shared" si="44"/>
        <v>#NUM!</v>
      </c>
      <c r="D215" s="202" t="e">
        <f t="shared" si="63"/>
        <v>#NUM!</v>
      </c>
      <c r="E215" s="203" t="e">
        <f t="shared" si="59"/>
        <v>#DIV/0!</v>
      </c>
      <c r="F215" s="201" t="e">
        <f t="shared" si="45"/>
        <v>#DIV/0!</v>
      </c>
      <c r="G215" s="201"/>
      <c r="H215" s="207">
        <f t="shared" si="46"/>
        <v>0</v>
      </c>
      <c r="I215" s="201" t="e">
        <f t="shared" si="43"/>
        <v>#NUM!</v>
      </c>
      <c r="J215" s="204" t="e">
        <f t="shared" si="47"/>
        <v>#DIV/0!</v>
      </c>
      <c r="K215" s="204" t="e">
        <f t="shared" si="48"/>
        <v>#DIV/0!</v>
      </c>
      <c r="L215" s="204" t="e">
        <f t="shared" si="49"/>
        <v>#DIV/0!</v>
      </c>
      <c r="M215" s="277" t="e">
        <f t="shared" si="60"/>
        <v>#NUM!</v>
      </c>
      <c r="N215" s="201"/>
      <c r="O215" s="205" t="e">
        <f t="shared" si="61"/>
        <v>#DIV/0!</v>
      </c>
      <c r="Q215" s="201" t="e">
        <f t="shared" si="50"/>
        <v>#DIV/0!</v>
      </c>
      <c r="R215" s="204" t="e">
        <f t="shared" si="51"/>
        <v>#DIV/0!</v>
      </c>
      <c r="S215" s="204" t="e">
        <f t="shared" si="52"/>
        <v>#DIV/0!</v>
      </c>
      <c r="T215" s="204" t="e">
        <f t="shared" si="53"/>
        <v>#DIV/0!</v>
      </c>
      <c r="U215" s="105" t="e">
        <f t="shared" si="54"/>
        <v>#NUM!</v>
      </c>
      <c r="V215" s="187" t="e">
        <f t="shared" si="55"/>
        <v>#NUM!</v>
      </c>
      <c r="W215" s="204" t="e">
        <f t="shared" si="56"/>
        <v>#DIV/0!</v>
      </c>
      <c r="X215" s="204" t="e">
        <f t="shared" si="57"/>
        <v>#DIV/0!</v>
      </c>
      <c r="Y215" s="204" t="e">
        <f t="shared" si="58"/>
        <v>#DIV/0!</v>
      </c>
    </row>
    <row r="216" spans="1:25" x14ac:dyDescent="0.2">
      <c r="A216" s="201">
        <v>0</v>
      </c>
      <c r="B216" s="14">
        <f t="shared" si="62"/>
        <v>0</v>
      </c>
      <c r="C216" s="14" t="e">
        <f t="shared" si="44"/>
        <v>#NUM!</v>
      </c>
      <c r="D216" s="202" t="e">
        <f t="shared" si="63"/>
        <v>#NUM!</v>
      </c>
      <c r="E216" s="203" t="e">
        <f t="shared" si="59"/>
        <v>#DIV/0!</v>
      </c>
      <c r="F216" s="201" t="e">
        <f t="shared" si="45"/>
        <v>#DIV/0!</v>
      </c>
      <c r="G216" s="201"/>
      <c r="H216" s="207">
        <f t="shared" si="46"/>
        <v>0</v>
      </c>
      <c r="I216" s="201" t="e">
        <f t="shared" si="43"/>
        <v>#NUM!</v>
      </c>
      <c r="J216" s="204" t="e">
        <f t="shared" si="47"/>
        <v>#DIV/0!</v>
      </c>
      <c r="K216" s="204" t="e">
        <f t="shared" si="48"/>
        <v>#DIV/0!</v>
      </c>
      <c r="L216" s="204" t="e">
        <f t="shared" si="49"/>
        <v>#DIV/0!</v>
      </c>
      <c r="M216" s="277" t="e">
        <f t="shared" si="60"/>
        <v>#NUM!</v>
      </c>
      <c r="N216" s="201"/>
      <c r="O216" s="205" t="e">
        <f t="shared" si="61"/>
        <v>#DIV/0!</v>
      </c>
      <c r="Q216" s="201" t="e">
        <f t="shared" si="50"/>
        <v>#DIV/0!</v>
      </c>
      <c r="R216" s="204" t="e">
        <f t="shared" si="51"/>
        <v>#DIV/0!</v>
      </c>
      <c r="S216" s="204" t="e">
        <f t="shared" si="52"/>
        <v>#DIV/0!</v>
      </c>
      <c r="T216" s="204" t="e">
        <f t="shared" si="53"/>
        <v>#DIV/0!</v>
      </c>
      <c r="U216" s="105" t="e">
        <f t="shared" si="54"/>
        <v>#NUM!</v>
      </c>
      <c r="V216" s="187" t="e">
        <f t="shared" si="55"/>
        <v>#NUM!</v>
      </c>
      <c r="W216" s="204" t="e">
        <f t="shared" si="56"/>
        <v>#DIV/0!</v>
      </c>
      <c r="X216" s="204" t="e">
        <f t="shared" si="57"/>
        <v>#DIV/0!</v>
      </c>
      <c r="Y216" s="204" t="e">
        <f t="shared" si="58"/>
        <v>#DIV/0!</v>
      </c>
    </row>
    <row r="217" spans="1:25" x14ac:dyDescent="0.2">
      <c r="A217" s="201">
        <v>0</v>
      </c>
      <c r="B217" s="14">
        <f t="shared" si="62"/>
        <v>0</v>
      </c>
      <c r="C217" s="14" t="e">
        <f t="shared" si="44"/>
        <v>#NUM!</v>
      </c>
      <c r="D217" s="202" t="e">
        <f t="shared" si="63"/>
        <v>#NUM!</v>
      </c>
      <c r="E217" s="203" t="e">
        <f t="shared" si="59"/>
        <v>#DIV/0!</v>
      </c>
      <c r="F217" s="201" t="e">
        <f t="shared" si="45"/>
        <v>#DIV/0!</v>
      </c>
      <c r="G217" s="201"/>
      <c r="H217" s="207">
        <f t="shared" si="46"/>
        <v>0</v>
      </c>
      <c r="I217" s="201" t="e">
        <f t="shared" si="43"/>
        <v>#NUM!</v>
      </c>
      <c r="J217" s="204" t="e">
        <f t="shared" si="47"/>
        <v>#DIV/0!</v>
      </c>
      <c r="K217" s="204" t="e">
        <f t="shared" si="48"/>
        <v>#DIV/0!</v>
      </c>
      <c r="L217" s="204" t="e">
        <f t="shared" si="49"/>
        <v>#DIV/0!</v>
      </c>
      <c r="M217" s="277" t="e">
        <f t="shared" si="60"/>
        <v>#NUM!</v>
      </c>
      <c r="N217" s="201"/>
      <c r="O217" s="205" t="e">
        <f t="shared" si="61"/>
        <v>#DIV/0!</v>
      </c>
      <c r="Q217" s="201" t="e">
        <f t="shared" si="50"/>
        <v>#DIV/0!</v>
      </c>
      <c r="R217" s="204" t="e">
        <f t="shared" si="51"/>
        <v>#DIV/0!</v>
      </c>
      <c r="S217" s="204" t="e">
        <f t="shared" si="52"/>
        <v>#DIV/0!</v>
      </c>
      <c r="T217" s="204" t="e">
        <f t="shared" si="53"/>
        <v>#DIV/0!</v>
      </c>
      <c r="U217" s="105" t="e">
        <f t="shared" si="54"/>
        <v>#NUM!</v>
      </c>
      <c r="V217" s="187" t="e">
        <f t="shared" si="55"/>
        <v>#NUM!</v>
      </c>
      <c r="W217" s="204" t="e">
        <f t="shared" si="56"/>
        <v>#DIV/0!</v>
      </c>
      <c r="X217" s="204" t="e">
        <f t="shared" si="57"/>
        <v>#DIV/0!</v>
      </c>
      <c r="Y217" s="204" t="e">
        <f t="shared" si="58"/>
        <v>#DIV/0!</v>
      </c>
    </row>
    <row r="218" spans="1:25" x14ac:dyDescent="0.2">
      <c r="A218" s="201">
        <v>0</v>
      </c>
      <c r="B218" s="14">
        <f t="shared" si="62"/>
        <v>0</v>
      </c>
      <c r="C218" s="14" t="e">
        <f t="shared" si="44"/>
        <v>#NUM!</v>
      </c>
      <c r="D218" s="202" t="e">
        <f t="shared" si="63"/>
        <v>#NUM!</v>
      </c>
      <c r="E218" s="203" t="e">
        <f t="shared" si="59"/>
        <v>#DIV/0!</v>
      </c>
      <c r="F218" s="201" t="e">
        <f t="shared" si="45"/>
        <v>#DIV/0!</v>
      </c>
      <c r="G218" s="201"/>
      <c r="H218" s="207">
        <f t="shared" si="46"/>
        <v>0</v>
      </c>
      <c r="I218" s="201" t="e">
        <f t="shared" si="43"/>
        <v>#NUM!</v>
      </c>
      <c r="J218" s="204" t="e">
        <f t="shared" si="47"/>
        <v>#DIV/0!</v>
      </c>
      <c r="K218" s="204" t="e">
        <f t="shared" si="48"/>
        <v>#DIV/0!</v>
      </c>
      <c r="L218" s="204" t="e">
        <f t="shared" si="49"/>
        <v>#DIV/0!</v>
      </c>
      <c r="M218" s="277" t="e">
        <f t="shared" si="60"/>
        <v>#NUM!</v>
      </c>
      <c r="N218" s="201"/>
      <c r="O218" s="205" t="e">
        <f t="shared" si="61"/>
        <v>#DIV/0!</v>
      </c>
      <c r="Q218" s="201" t="e">
        <f t="shared" si="50"/>
        <v>#DIV/0!</v>
      </c>
      <c r="R218" s="204" t="e">
        <f t="shared" si="51"/>
        <v>#DIV/0!</v>
      </c>
      <c r="S218" s="204" t="e">
        <f t="shared" si="52"/>
        <v>#DIV/0!</v>
      </c>
      <c r="T218" s="204" t="e">
        <f t="shared" si="53"/>
        <v>#DIV/0!</v>
      </c>
      <c r="U218" s="105" t="e">
        <f t="shared" si="54"/>
        <v>#NUM!</v>
      </c>
      <c r="V218" s="187" t="e">
        <f t="shared" si="55"/>
        <v>#NUM!</v>
      </c>
      <c r="W218" s="204" t="e">
        <f t="shared" si="56"/>
        <v>#DIV/0!</v>
      </c>
      <c r="X218" s="204" t="e">
        <f t="shared" si="57"/>
        <v>#DIV/0!</v>
      </c>
      <c r="Y218" s="204" t="e">
        <f t="shared" si="58"/>
        <v>#DIV/0!</v>
      </c>
    </row>
    <row r="219" spans="1:25" x14ac:dyDescent="0.2">
      <c r="A219" s="201">
        <v>0</v>
      </c>
      <c r="B219" s="14">
        <f t="shared" si="62"/>
        <v>0</v>
      </c>
      <c r="C219" s="14" t="e">
        <f t="shared" si="44"/>
        <v>#NUM!</v>
      </c>
      <c r="D219" s="202" t="e">
        <f t="shared" si="63"/>
        <v>#NUM!</v>
      </c>
      <c r="E219" s="203" t="e">
        <f t="shared" si="59"/>
        <v>#DIV/0!</v>
      </c>
      <c r="F219" s="201" t="e">
        <f t="shared" si="45"/>
        <v>#DIV/0!</v>
      </c>
      <c r="G219" s="201"/>
      <c r="H219" s="207">
        <f t="shared" si="46"/>
        <v>0</v>
      </c>
      <c r="I219" s="201" t="e">
        <f t="shared" si="43"/>
        <v>#NUM!</v>
      </c>
      <c r="J219" s="204" t="e">
        <f t="shared" si="47"/>
        <v>#DIV/0!</v>
      </c>
      <c r="K219" s="204" t="e">
        <f t="shared" si="48"/>
        <v>#DIV/0!</v>
      </c>
      <c r="L219" s="204" t="e">
        <f t="shared" si="49"/>
        <v>#DIV/0!</v>
      </c>
      <c r="M219" s="277" t="e">
        <f t="shared" si="60"/>
        <v>#NUM!</v>
      </c>
      <c r="N219" s="201"/>
      <c r="O219" s="205" t="e">
        <f t="shared" si="61"/>
        <v>#DIV/0!</v>
      </c>
      <c r="Q219" s="201" t="e">
        <f t="shared" si="50"/>
        <v>#DIV/0!</v>
      </c>
      <c r="R219" s="204" t="e">
        <f t="shared" si="51"/>
        <v>#DIV/0!</v>
      </c>
      <c r="S219" s="204" t="e">
        <f t="shared" si="52"/>
        <v>#DIV/0!</v>
      </c>
      <c r="T219" s="204" t="e">
        <f t="shared" si="53"/>
        <v>#DIV/0!</v>
      </c>
      <c r="U219" s="105" t="e">
        <f t="shared" si="54"/>
        <v>#NUM!</v>
      </c>
      <c r="V219" s="187" t="e">
        <f t="shared" si="55"/>
        <v>#NUM!</v>
      </c>
      <c r="W219" s="204" t="e">
        <f t="shared" si="56"/>
        <v>#DIV/0!</v>
      </c>
      <c r="X219" s="204" t="e">
        <f t="shared" si="57"/>
        <v>#DIV/0!</v>
      </c>
      <c r="Y219" s="204" t="e">
        <f t="shared" si="58"/>
        <v>#DIV/0!</v>
      </c>
    </row>
    <row r="220" spans="1:25" x14ac:dyDescent="0.2">
      <c r="A220" s="201">
        <v>0</v>
      </c>
      <c r="B220" s="14">
        <f t="shared" si="62"/>
        <v>0</v>
      </c>
      <c r="C220" s="14" t="e">
        <f t="shared" si="44"/>
        <v>#NUM!</v>
      </c>
      <c r="D220" s="202" t="e">
        <f t="shared" si="63"/>
        <v>#NUM!</v>
      </c>
      <c r="E220" s="203" t="e">
        <f t="shared" si="59"/>
        <v>#DIV/0!</v>
      </c>
      <c r="F220" s="201" t="e">
        <f t="shared" si="45"/>
        <v>#DIV/0!</v>
      </c>
      <c r="G220" s="201"/>
      <c r="H220" s="207">
        <f t="shared" si="46"/>
        <v>0</v>
      </c>
      <c r="I220" s="201" t="e">
        <f t="shared" si="43"/>
        <v>#NUM!</v>
      </c>
      <c r="J220" s="204" t="e">
        <f t="shared" si="47"/>
        <v>#DIV/0!</v>
      </c>
      <c r="K220" s="204" t="e">
        <f t="shared" si="48"/>
        <v>#DIV/0!</v>
      </c>
      <c r="L220" s="204" t="e">
        <f t="shared" si="49"/>
        <v>#DIV/0!</v>
      </c>
      <c r="M220" s="277" t="e">
        <f t="shared" si="60"/>
        <v>#NUM!</v>
      </c>
      <c r="N220" s="201"/>
      <c r="O220" s="205" t="e">
        <f t="shared" si="61"/>
        <v>#DIV/0!</v>
      </c>
      <c r="Q220" s="201" t="e">
        <f t="shared" si="50"/>
        <v>#DIV/0!</v>
      </c>
      <c r="R220" s="204" t="e">
        <f t="shared" si="51"/>
        <v>#DIV/0!</v>
      </c>
      <c r="S220" s="204" t="e">
        <f t="shared" si="52"/>
        <v>#DIV/0!</v>
      </c>
      <c r="T220" s="204" t="e">
        <f t="shared" si="53"/>
        <v>#DIV/0!</v>
      </c>
      <c r="U220" s="105" t="e">
        <f t="shared" si="54"/>
        <v>#NUM!</v>
      </c>
      <c r="V220" s="187" t="e">
        <f t="shared" si="55"/>
        <v>#NUM!</v>
      </c>
      <c r="W220" s="204" t="e">
        <f t="shared" si="56"/>
        <v>#DIV/0!</v>
      </c>
      <c r="X220" s="204" t="e">
        <f t="shared" si="57"/>
        <v>#DIV/0!</v>
      </c>
      <c r="Y220" s="204" t="e">
        <f t="shared" si="58"/>
        <v>#DIV/0!</v>
      </c>
    </row>
    <row r="221" spans="1:25" x14ac:dyDescent="0.2">
      <c r="A221" s="201">
        <v>0</v>
      </c>
      <c r="B221" s="14">
        <f t="shared" si="62"/>
        <v>0</v>
      </c>
      <c r="C221" s="14" t="e">
        <f t="shared" si="44"/>
        <v>#NUM!</v>
      </c>
      <c r="D221" s="202" t="e">
        <f t="shared" si="63"/>
        <v>#NUM!</v>
      </c>
      <c r="E221" s="203" t="e">
        <f t="shared" si="59"/>
        <v>#DIV/0!</v>
      </c>
      <c r="F221" s="201" t="e">
        <f t="shared" si="45"/>
        <v>#DIV/0!</v>
      </c>
      <c r="G221" s="201"/>
      <c r="H221" s="207">
        <f t="shared" si="46"/>
        <v>0</v>
      </c>
      <c r="I221" s="201" t="e">
        <f t="shared" si="43"/>
        <v>#NUM!</v>
      </c>
      <c r="J221" s="204" t="e">
        <f t="shared" si="47"/>
        <v>#DIV/0!</v>
      </c>
      <c r="K221" s="204" t="e">
        <f t="shared" si="48"/>
        <v>#DIV/0!</v>
      </c>
      <c r="L221" s="204" t="e">
        <f t="shared" si="49"/>
        <v>#DIV/0!</v>
      </c>
      <c r="M221" s="277" t="e">
        <f t="shared" si="60"/>
        <v>#NUM!</v>
      </c>
      <c r="N221" s="201"/>
      <c r="O221" s="205" t="e">
        <f t="shared" si="61"/>
        <v>#DIV/0!</v>
      </c>
      <c r="Q221" s="201" t="e">
        <f t="shared" si="50"/>
        <v>#DIV/0!</v>
      </c>
      <c r="R221" s="204" t="e">
        <f t="shared" si="51"/>
        <v>#DIV/0!</v>
      </c>
      <c r="S221" s="204" t="e">
        <f t="shared" si="52"/>
        <v>#DIV/0!</v>
      </c>
      <c r="T221" s="204" t="e">
        <f t="shared" si="53"/>
        <v>#DIV/0!</v>
      </c>
      <c r="U221" s="105" t="e">
        <f t="shared" si="54"/>
        <v>#NUM!</v>
      </c>
      <c r="V221" s="187" t="e">
        <f t="shared" si="55"/>
        <v>#NUM!</v>
      </c>
      <c r="W221" s="204" t="e">
        <f t="shared" si="56"/>
        <v>#DIV/0!</v>
      </c>
      <c r="X221" s="204" t="e">
        <f t="shared" si="57"/>
        <v>#DIV/0!</v>
      </c>
      <c r="Y221" s="204" t="e">
        <f t="shared" si="58"/>
        <v>#DIV/0!</v>
      </c>
    </row>
    <row r="222" spans="1:25" x14ac:dyDescent="0.2">
      <c r="A222" s="201">
        <v>0</v>
      </c>
      <c r="B222" s="14">
        <f t="shared" si="62"/>
        <v>0</v>
      </c>
      <c r="C222" s="14" t="e">
        <f t="shared" si="44"/>
        <v>#NUM!</v>
      </c>
      <c r="D222" s="202" t="e">
        <f t="shared" si="63"/>
        <v>#NUM!</v>
      </c>
      <c r="E222" s="203" t="e">
        <f t="shared" si="59"/>
        <v>#DIV/0!</v>
      </c>
      <c r="F222" s="201" t="e">
        <f t="shared" si="45"/>
        <v>#DIV/0!</v>
      </c>
      <c r="G222" s="201"/>
      <c r="H222" s="207">
        <f t="shared" si="46"/>
        <v>0</v>
      </c>
      <c r="I222" s="201" t="e">
        <f t="shared" ref="I222:I250" si="64">D222*F222</f>
        <v>#NUM!</v>
      </c>
      <c r="J222" s="204" t="e">
        <f t="shared" si="47"/>
        <v>#DIV/0!</v>
      </c>
      <c r="K222" s="204" t="e">
        <f t="shared" si="48"/>
        <v>#DIV/0!</v>
      </c>
      <c r="L222" s="204" t="e">
        <f t="shared" si="49"/>
        <v>#DIV/0!</v>
      </c>
      <c r="M222" s="277" t="e">
        <f t="shared" si="60"/>
        <v>#NUM!</v>
      </c>
      <c r="N222" s="201"/>
      <c r="O222" s="205" t="e">
        <f t="shared" si="61"/>
        <v>#DIV/0!</v>
      </c>
      <c r="Q222" s="201" t="e">
        <f t="shared" si="50"/>
        <v>#DIV/0!</v>
      </c>
      <c r="R222" s="204" t="e">
        <f t="shared" si="51"/>
        <v>#DIV/0!</v>
      </c>
      <c r="S222" s="204" t="e">
        <f t="shared" si="52"/>
        <v>#DIV/0!</v>
      </c>
      <c r="T222" s="204" t="e">
        <f t="shared" si="53"/>
        <v>#DIV/0!</v>
      </c>
      <c r="U222" s="105" t="e">
        <f t="shared" si="54"/>
        <v>#NUM!</v>
      </c>
      <c r="V222" s="187" t="e">
        <f t="shared" si="55"/>
        <v>#NUM!</v>
      </c>
      <c r="W222" s="204" t="e">
        <f t="shared" si="56"/>
        <v>#DIV/0!</v>
      </c>
      <c r="X222" s="204" t="e">
        <f t="shared" si="57"/>
        <v>#DIV/0!</v>
      </c>
      <c r="Y222" s="204" t="e">
        <f t="shared" si="58"/>
        <v>#DIV/0!</v>
      </c>
    </row>
    <row r="223" spans="1:25" x14ac:dyDescent="0.2">
      <c r="A223" s="201">
        <v>0</v>
      </c>
      <c r="B223" s="14">
        <f t="shared" si="62"/>
        <v>0</v>
      </c>
      <c r="C223" s="14" t="e">
        <f t="shared" ref="C223:C250" si="65">IF(A223=0,IF(B223&gt;0,IF(C222&lt;10,10,-LOG(0,2)),-LOG(0,2)),-LOG(A223,2))</f>
        <v>#NUM!</v>
      </c>
      <c r="D223" s="202" t="e">
        <f t="shared" si="63"/>
        <v>#NUM!</v>
      </c>
      <c r="E223" s="203" t="e">
        <f t="shared" si="59"/>
        <v>#DIV/0!</v>
      </c>
      <c r="F223" s="201" t="e">
        <f t="shared" ref="F223:F250" si="66">(G223*100)/$A$10</f>
        <v>#DIV/0!</v>
      </c>
      <c r="G223" s="201"/>
      <c r="H223" s="207">
        <f t="shared" ref="H223:H250" si="67">A223*1000</f>
        <v>0</v>
      </c>
      <c r="I223" s="201" t="e">
        <f t="shared" si="64"/>
        <v>#NUM!</v>
      </c>
      <c r="J223" s="204" t="e">
        <f t="shared" ref="J223:J250" si="68">(F223)*(D223-$B$4)^2</f>
        <v>#DIV/0!</v>
      </c>
      <c r="K223" s="204" t="e">
        <f t="shared" ref="K223:K250" si="69">(F223)*(D223-$B$4)^3</f>
        <v>#DIV/0!</v>
      </c>
      <c r="L223" s="204" t="e">
        <f t="shared" ref="L223:L250" si="70">(F223)*(D223-$B$4)^4</f>
        <v>#DIV/0!</v>
      </c>
      <c r="M223" s="277" t="e">
        <f t="shared" si="60"/>
        <v>#NUM!</v>
      </c>
      <c r="N223" s="201"/>
      <c r="O223" s="205" t="e">
        <f t="shared" si="61"/>
        <v>#DIV/0!</v>
      </c>
      <c r="Q223" s="201" t="e">
        <f t="shared" ref="Q223:Q250" si="71">(B223*1000)*F223</f>
        <v>#DIV/0!</v>
      </c>
      <c r="R223" s="204" t="e">
        <f t="shared" ref="R223:R250" si="72">(F223)*((B223*1000)-$B$15)^2</f>
        <v>#DIV/0!</v>
      </c>
      <c r="S223" s="204" t="e">
        <f t="shared" ref="S223:S250" si="73">(F223)*((B223*1000)-$B$15)^3</f>
        <v>#DIV/0!</v>
      </c>
      <c r="T223" s="204" t="e">
        <f t="shared" ref="T223:T250" si="74">(F223)*((B223*1000)-$B$15)^4</f>
        <v>#DIV/0!</v>
      </c>
      <c r="U223" s="105" t="e">
        <f t="shared" ref="U223:U250" si="75">LOG(((2^(-D223))*1000),10)</f>
        <v>#NUM!</v>
      </c>
      <c r="V223" s="187" t="e">
        <f t="shared" ref="V223:V250" si="76">U223*F223</f>
        <v>#NUM!</v>
      </c>
      <c r="W223" s="204" t="e">
        <f t="shared" ref="W223:W250" si="77">(F223)*(U223-LOG($E$15))^2</f>
        <v>#DIV/0!</v>
      </c>
      <c r="X223" s="204" t="e">
        <f t="shared" ref="X223:X250" si="78">(F223)*(U223-LOG($E$15))^3</f>
        <v>#DIV/0!</v>
      </c>
      <c r="Y223" s="204" t="e">
        <f t="shared" ref="Y223:Y250" si="79">(F223)*(U223-LOG($E$15))^4</f>
        <v>#DIV/0!</v>
      </c>
    </row>
    <row r="224" spans="1:25" x14ac:dyDescent="0.2">
      <c r="A224" s="201">
        <v>0</v>
      </c>
      <c r="B224" s="14">
        <f t="shared" si="62"/>
        <v>0</v>
      </c>
      <c r="C224" s="14" t="e">
        <f t="shared" si="65"/>
        <v>#NUM!</v>
      </c>
      <c r="D224" s="202" t="e">
        <f t="shared" si="63"/>
        <v>#NUM!</v>
      </c>
      <c r="E224" s="203" t="e">
        <f t="shared" ref="E224:E250" si="80">F224+E223</f>
        <v>#DIV/0!</v>
      </c>
      <c r="F224" s="201" t="e">
        <f t="shared" si="66"/>
        <v>#DIV/0!</v>
      </c>
      <c r="G224" s="201"/>
      <c r="H224" s="207">
        <f t="shared" si="67"/>
        <v>0</v>
      </c>
      <c r="I224" s="201" t="e">
        <f t="shared" si="64"/>
        <v>#NUM!</v>
      </c>
      <c r="J224" s="204" t="e">
        <f t="shared" si="68"/>
        <v>#DIV/0!</v>
      </c>
      <c r="K224" s="204" t="e">
        <f t="shared" si="69"/>
        <v>#DIV/0!</v>
      </c>
      <c r="L224" s="204" t="e">
        <f t="shared" si="70"/>
        <v>#DIV/0!</v>
      </c>
      <c r="M224" s="277" t="e">
        <f t="shared" ref="M224:M250" si="81">((2^(-D224))*1000)</f>
        <v>#NUM!</v>
      </c>
      <c r="N224" s="201"/>
      <c r="O224" s="205" t="e">
        <f t="shared" ref="O224:O250" si="82">(N224*100)/$A$13</f>
        <v>#DIV/0!</v>
      </c>
      <c r="Q224" s="201" t="e">
        <f t="shared" si="71"/>
        <v>#DIV/0!</v>
      </c>
      <c r="R224" s="204" t="e">
        <f t="shared" si="72"/>
        <v>#DIV/0!</v>
      </c>
      <c r="S224" s="204" t="e">
        <f t="shared" si="73"/>
        <v>#DIV/0!</v>
      </c>
      <c r="T224" s="204" t="e">
        <f t="shared" si="74"/>
        <v>#DIV/0!</v>
      </c>
      <c r="U224" s="105" t="e">
        <f t="shared" si="75"/>
        <v>#NUM!</v>
      </c>
      <c r="V224" s="187" t="e">
        <f t="shared" si="76"/>
        <v>#NUM!</v>
      </c>
      <c r="W224" s="204" t="e">
        <f t="shared" si="77"/>
        <v>#DIV/0!</v>
      </c>
      <c r="X224" s="204" t="e">
        <f t="shared" si="78"/>
        <v>#DIV/0!</v>
      </c>
      <c r="Y224" s="204" t="e">
        <f t="shared" si="79"/>
        <v>#DIV/0!</v>
      </c>
    </row>
    <row r="225" spans="1:25" x14ac:dyDescent="0.2">
      <c r="A225" s="201">
        <v>0</v>
      </c>
      <c r="B225" s="14">
        <f t="shared" ref="B225:B250" si="83">IF(A225=0,IF(A224&gt;0,IF(B224&gt;0.001,((A224+(2^(-10)))/2),0),0),(A224+A225)/2)</f>
        <v>0</v>
      </c>
      <c r="C225" s="14" t="e">
        <f t="shared" si="65"/>
        <v>#NUM!</v>
      </c>
      <c r="D225" s="202" t="e">
        <f t="shared" si="63"/>
        <v>#NUM!</v>
      </c>
      <c r="E225" s="203" t="e">
        <f t="shared" si="80"/>
        <v>#DIV/0!</v>
      </c>
      <c r="F225" s="201" t="e">
        <f t="shared" si="66"/>
        <v>#DIV/0!</v>
      </c>
      <c r="G225" s="201"/>
      <c r="H225" s="207">
        <f t="shared" si="67"/>
        <v>0</v>
      </c>
      <c r="I225" s="201" t="e">
        <f t="shared" si="64"/>
        <v>#NUM!</v>
      </c>
      <c r="J225" s="204" t="e">
        <f t="shared" si="68"/>
        <v>#DIV/0!</v>
      </c>
      <c r="K225" s="204" t="e">
        <f t="shared" si="69"/>
        <v>#DIV/0!</v>
      </c>
      <c r="L225" s="204" t="e">
        <f t="shared" si="70"/>
        <v>#DIV/0!</v>
      </c>
      <c r="M225" s="277" t="e">
        <f t="shared" si="81"/>
        <v>#NUM!</v>
      </c>
      <c r="N225" s="201"/>
      <c r="O225" s="205" t="e">
        <f t="shared" si="82"/>
        <v>#DIV/0!</v>
      </c>
      <c r="Q225" s="201" t="e">
        <f t="shared" si="71"/>
        <v>#DIV/0!</v>
      </c>
      <c r="R225" s="204" t="e">
        <f t="shared" si="72"/>
        <v>#DIV/0!</v>
      </c>
      <c r="S225" s="204" t="e">
        <f t="shared" si="73"/>
        <v>#DIV/0!</v>
      </c>
      <c r="T225" s="204" t="e">
        <f t="shared" si="74"/>
        <v>#DIV/0!</v>
      </c>
      <c r="U225" s="105" t="e">
        <f t="shared" si="75"/>
        <v>#NUM!</v>
      </c>
      <c r="V225" s="187" t="e">
        <f t="shared" si="76"/>
        <v>#NUM!</v>
      </c>
      <c r="W225" s="204" t="e">
        <f t="shared" si="77"/>
        <v>#DIV/0!</v>
      </c>
      <c r="X225" s="204" t="e">
        <f t="shared" si="78"/>
        <v>#DIV/0!</v>
      </c>
      <c r="Y225" s="204" t="e">
        <f t="shared" si="79"/>
        <v>#DIV/0!</v>
      </c>
    </row>
    <row r="226" spans="1:25" x14ac:dyDescent="0.2">
      <c r="A226" s="201">
        <v>0</v>
      </c>
      <c r="B226" s="14">
        <f t="shared" si="83"/>
        <v>0</v>
      </c>
      <c r="C226" s="14" t="e">
        <f t="shared" si="65"/>
        <v>#NUM!</v>
      </c>
      <c r="D226" s="202" t="e">
        <f t="shared" si="63"/>
        <v>#NUM!</v>
      </c>
      <c r="E226" s="203" t="e">
        <f t="shared" si="80"/>
        <v>#DIV/0!</v>
      </c>
      <c r="F226" s="201" t="e">
        <f t="shared" si="66"/>
        <v>#DIV/0!</v>
      </c>
      <c r="G226" s="201"/>
      <c r="H226" s="207">
        <f t="shared" si="67"/>
        <v>0</v>
      </c>
      <c r="I226" s="201" t="e">
        <f t="shared" si="64"/>
        <v>#NUM!</v>
      </c>
      <c r="J226" s="204" t="e">
        <f t="shared" si="68"/>
        <v>#DIV/0!</v>
      </c>
      <c r="K226" s="204" t="e">
        <f t="shared" si="69"/>
        <v>#DIV/0!</v>
      </c>
      <c r="L226" s="204" t="e">
        <f t="shared" si="70"/>
        <v>#DIV/0!</v>
      </c>
      <c r="M226" s="277" t="e">
        <f t="shared" si="81"/>
        <v>#NUM!</v>
      </c>
      <c r="N226" s="201"/>
      <c r="O226" s="205" t="e">
        <f t="shared" si="82"/>
        <v>#DIV/0!</v>
      </c>
      <c r="Q226" s="201" t="e">
        <f t="shared" si="71"/>
        <v>#DIV/0!</v>
      </c>
      <c r="R226" s="204" t="e">
        <f t="shared" si="72"/>
        <v>#DIV/0!</v>
      </c>
      <c r="S226" s="204" t="e">
        <f t="shared" si="73"/>
        <v>#DIV/0!</v>
      </c>
      <c r="T226" s="204" t="e">
        <f t="shared" si="74"/>
        <v>#DIV/0!</v>
      </c>
      <c r="U226" s="105" t="e">
        <f t="shared" si="75"/>
        <v>#NUM!</v>
      </c>
      <c r="V226" s="187" t="e">
        <f t="shared" si="76"/>
        <v>#NUM!</v>
      </c>
      <c r="W226" s="204" t="e">
        <f t="shared" si="77"/>
        <v>#DIV/0!</v>
      </c>
      <c r="X226" s="204" t="e">
        <f t="shared" si="78"/>
        <v>#DIV/0!</v>
      </c>
      <c r="Y226" s="204" t="e">
        <f t="shared" si="79"/>
        <v>#DIV/0!</v>
      </c>
    </row>
    <row r="227" spans="1:25" x14ac:dyDescent="0.2">
      <c r="A227" s="201">
        <v>0</v>
      </c>
      <c r="B227" s="14">
        <f t="shared" si="83"/>
        <v>0</v>
      </c>
      <c r="C227" s="14" t="e">
        <f t="shared" si="65"/>
        <v>#NUM!</v>
      </c>
      <c r="D227" s="202" t="e">
        <f t="shared" si="63"/>
        <v>#NUM!</v>
      </c>
      <c r="E227" s="203" t="e">
        <f t="shared" si="80"/>
        <v>#DIV/0!</v>
      </c>
      <c r="F227" s="201" t="e">
        <f t="shared" si="66"/>
        <v>#DIV/0!</v>
      </c>
      <c r="G227" s="201"/>
      <c r="H227" s="207">
        <f t="shared" si="67"/>
        <v>0</v>
      </c>
      <c r="I227" s="201" t="e">
        <f t="shared" si="64"/>
        <v>#NUM!</v>
      </c>
      <c r="J227" s="204" t="e">
        <f t="shared" si="68"/>
        <v>#DIV/0!</v>
      </c>
      <c r="K227" s="204" t="e">
        <f t="shared" si="69"/>
        <v>#DIV/0!</v>
      </c>
      <c r="L227" s="204" t="e">
        <f t="shared" si="70"/>
        <v>#DIV/0!</v>
      </c>
      <c r="M227" s="277" t="e">
        <f t="shared" si="81"/>
        <v>#NUM!</v>
      </c>
      <c r="N227" s="201"/>
      <c r="O227" s="205" t="e">
        <f t="shared" si="82"/>
        <v>#DIV/0!</v>
      </c>
      <c r="Q227" s="201" t="e">
        <f t="shared" si="71"/>
        <v>#DIV/0!</v>
      </c>
      <c r="R227" s="204" t="e">
        <f t="shared" si="72"/>
        <v>#DIV/0!</v>
      </c>
      <c r="S227" s="204" t="e">
        <f t="shared" si="73"/>
        <v>#DIV/0!</v>
      </c>
      <c r="T227" s="204" t="e">
        <f t="shared" si="74"/>
        <v>#DIV/0!</v>
      </c>
      <c r="U227" s="105" t="e">
        <f t="shared" si="75"/>
        <v>#NUM!</v>
      </c>
      <c r="V227" s="187" t="e">
        <f t="shared" si="76"/>
        <v>#NUM!</v>
      </c>
      <c r="W227" s="204" t="e">
        <f t="shared" si="77"/>
        <v>#DIV/0!</v>
      </c>
      <c r="X227" s="204" t="e">
        <f t="shared" si="78"/>
        <v>#DIV/0!</v>
      </c>
      <c r="Y227" s="204" t="e">
        <f t="shared" si="79"/>
        <v>#DIV/0!</v>
      </c>
    </row>
    <row r="228" spans="1:25" x14ac:dyDescent="0.2">
      <c r="A228" s="201">
        <v>0</v>
      </c>
      <c r="B228" s="14">
        <f t="shared" si="83"/>
        <v>0</v>
      </c>
      <c r="C228" s="14" t="e">
        <f t="shared" si="65"/>
        <v>#NUM!</v>
      </c>
      <c r="D228" s="202" t="e">
        <f t="shared" si="63"/>
        <v>#NUM!</v>
      </c>
      <c r="E228" s="203" t="e">
        <f t="shared" si="80"/>
        <v>#DIV/0!</v>
      </c>
      <c r="F228" s="201" t="e">
        <f t="shared" si="66"/>
        <v>#DIV/0!</v>
      </c>
      <c r="G228" s="201"/>
      <c r="H228" s="207">
        <f t="shared" si="67"/>
        <v>0</v>
      </c>
      <c r="I228" s="201" t="e">
        <f t="shared" si="64"/>
        <v>#NUM!</v>
      </c>
      <c r="J228" s="204" t="e">
        <f t="shared" si="68"/>
        <v>#DIV/0!</v>
      </c>
      <c r="K228" s="204" t="e">
        <f t="shared" si="69"/>
        <v>#DIV/0!</v>
      </c>
      <c r="L228" s="204" t="e">
        <f t="shared" si="70"/>
        <v>#DIV/0!</v>
      </c>
      <c r="M228" s="277" t="e">
        <f t="shared" si="81"/>
        <v>#NUM!</v>
      </c>
      <c r="N228" s="201"/>
      <c r="O228" s="205" t="e">
        <f t="shared" si="82"/>
        <v>#DIV/0!</v>
      </c>
      <c r="Q228" s="201" t="e">
        <f t="shared" si="71"/>
        <v>#DIV/0!</v>
      </c>
      <c r="R228" s="204" t="e">
        <f t="shared" si="72"/>
        <v>#DIV/0!</v>
      </c>
      <c r="S228" s="204" t="e">
        <f t="shared" si="73"/>
        <v>#DIV/0!</v>
      </c>
      <c r="T228" s="204" t="e">
        <f t="shared" si="74"/>
        <v>#DIV/0!</v>
      </c>
      <c r="U228" s="105" t="e">
        <f t="shared" si="75"/>
        <v>#NUM!</v>
      </c>
      <c r="V228" s="187" t="e">
        <f t="shared" si="76"/>
        <v>#NUM!</v>
      </c>
      <c r="W228" s="204" t="e">
        <f t="shared" si="77"/>
        <v>#DIV/0!</v>
      </c>
      <c r="X228" s="204" t="e">
        <f t="shared" si="78"/>
        <v>#DIV/0!</v>
      </c>
      <c r="Y228" s="204" t="e">
        <f t="shared" si="79"/>
        <v>#DIV/0!</v>
      </c>
    </row>
    <row r="229" spans="1:25" x14ac:dyDescent="0.2">
      <c r="A229" s="201">
        <v>0</v>
      </c>
      <c r="B229" s="14">
        <f t="shared" si="83"/>
        <v>0</v>
      </c>
      <c r="C229" s="14" t="e">
        <f t="shared" si="65"/>
        <v>#NUM!</v>
      </c>
      <c r="D229" s="202" t="e">
        <f t="shared" si="63"/>
        <v>#NUM!</v>
      </c>
      <c r="E229" s="203" t="e">
        <f t="shared" si="80"/>
        <v>#DIV/0!</v>
      </c>
      <c r="F229" s="201" t="e">
        <f t="shared" si="66"/>
        <v>#DIV/0!</v>
      </c>
      <c r="G229" s="201"/>
      <c r="H229" s="207">
        <f t="shared" si="67"/>
        <v>0</v>
      </c>
      <c r="I229" s="201" t="e">
        <f t="shared" si="64"/>
        <v>#NUM!</v>
      </c>
      <c r="J229" s="204" t="e">
        <f t="shared" si="68"/>
        <v>#DIV/0!</v>
      </c>
      <c r="K229" s="204" t="e">
        <f t="shared" si="69"/>
        <v>#DIV/0!</v>
      </c>
      <c r="L229" s="204" t="e">
        <f t="shared" si="70"/>
        <v>#DIV/0!</v>
      </c>
      <c r="M229" s="277" t="e">
        <f t="shared" si="81"/>
        <v>#NUM!</v>
      </c>
      <c r="N229" s="201"/>
      <c r="O229" s="205" t="e">
        <f t="shared" si="82"/>
        <v>#DIV/0!</v>
      </c>
      <c r="Q229" s="201" t="e">
        <f t="shared" si="71"/>
        <v>#DIV/0!</v>
      </c>
      <c r="R229" s="204" t="e">
        <f t="shared" si="72"/>
        <v>#DIV/0!</v>
      </c>
      <c r="S229" s="204" t="e">
        <f t="shared" si="73"/>
        <v>#DIV/0!</v>
      </c>
      <c r="T229" s="204" t="e">
        <f t="shared" si="74"/>
        <v>#DIV/0!</v>
      </c>
      <c r="U229" s="105" t="e">
        <f t="shared" si="75"/>
        <v>#NUM!</v>
      </c>
      <c r="V229" s="187" t="e">
        <f t="shared" si="76"/>
        <v>#NUM!</v>
      </c>
      <c r="W229" s="204" t="e">
        <f t="shared" si="77"/>
        <v>#DIV/0!</v>
      </c>
      <c r="X229" s="204" t="e">
        <f t="shared" si="78"/>
        <v>#DIV/0!</v>
      </c>
      <c r="Y229" s="204" t="e">
        <f t="shared" si="79"/>
        <v>#DIV/0!</v>
      </c>
    </row>
    <row r="230" spans="1:25" x14ac:dyDescent="0.2">
      <c r="A230" s="201">
        <v>0</v>
      </c>
      <c r="B230" s="14">
        <f t="shared" si="83"/>
        <v>0</v>
      </c>
      <c r="C230" s="14" t="e">
        <f t="shared" si="65"/>
        <v>#NUM!</v>
      </c>
      <c r="D230" s="202" t="e">
        <f t="shared" si="63"/>
        <v>#NUM!</v>
      </c>
      <c r="E230" s="203" t="e">
        <f t="shared" si="80"/>
        <v>#DIV/0!</v>
      </c>
      <c r="F230" s="201" t="e">
        <f t="shared" si="66"/>
        <v>#DIV/0!</v>
      </c>
      <c r="G230" s="201"/>
      <c r="H230" s="207">
        <f t="shared" si="67"/>
        <v>0</v>
      </c>
      <c r="I230" s="201" t="e">
        <f t="shared" si="64"/>
        <v>#NUM!</v>
      </c>
      <c r="J230" s="204" t="e">
        <f t="shared" si="68"/>
        <v>#DIV/0!</v>
      </c>
      <c r="K230" s="204" t="e">
        <f t="shared" si="69"/>
        <v>#DIV/0!</v>
      </c>
      <c r="L230" s="204" t="e">
        <f t="shared" si="70"/>
        <v>#DIV/0!</v>
      </c>
      <c r="M230" s="277" t="e">
        <f t="shared" si="81"/>
        <v>#NUM!</v>
      </c>
      <c r="N230" s="201"/>
      <c r="O230" s="205" t="e">
        <f t="shared" si="82"/>
        <v>#DIV/0!</v>
      </c>
      <c r="Q230" s="201" t="e">
        <f t="shared" si="71"/>
        <v>#DIV/0!</v>
      </c>
      <c r="R230" s="204" t="e">
        <f t="shared" si="72"/>
        <v>#DIV/0!</v>
      </c>
      <c r="S230" s="204" t="e">
        <f t="shared" si="73"/>
        <v>#DIV/0!</v>
      </c>
      <c r="T230" s="204" t="e">
        <f t="shared" si="74"/>
        <v>#DIV/0!</v>
      </c>
      <c r="U230" s="105" t="e">
        <f t="shared" si="75"/>
        <v>#NUM!</v>
      </c>
      <c r="V230" s="187" t="e">
        <f t="shared" si="76"/>
        <v>#NUM!</v>
      </c>
      <c r="W230" s="204" t="e">
        <f t="shared" si="77"/>
        <v>#DIV/0!</v>
      </c>
      <c r="X230" s="204" t="e">
        <f t="shared" si="78"/>
        <v>#DIV/0!</v>
      </c>
      <c r="Y230" s="204" t="e">
        <f t="shared" si="79"/>
        <v>#DIV/0!</v>
      </c>
    </row>
    <row r="231" spans="1:25" x14ac:dyDescent="0.2">
      <c r="A231" s="201">
        <v>0</v>
      </c>
      <c r="B231" s="14">
        <f t="shared" si="83"/>
        <v>0</v>
      </c>
      <c r="C231" s="14" t="e">
        <f t="shared" si="65"/>
        <v>#NUM!</v>
      </c>
      <c r="D231" s="202" t="e">
        <f t="shared" si="63"/>
        <v>#NUM!</v>
      </c>
      <c r="E231" s="203" t="e">
        <f t="shared" si="80"/>
        <v>#DIV/0!</v>
      </c>
      <c r="F231" s="201" t="e">
        <f t="shared" si="66"/>
        <v>#DIV/0!</v>
      </c>
      <c r="G231" s="201"/>
      <c r="H231" s="207">
        <f t="shared" si="67"/>
        <v>0</v>
      </c>
      <c r="I231" s="201" t="e">
        <f t="shared" si="64"/>
        <v>#NUM!</v>
      </c>
      <c r="J231" s="204" t="e">
        <f t="shared" si="68"/>
        <v>#DIV/0!</v>
      </c>
      <c r="K231" s="204" t="e">
        <f t="shared" si="69"/>
        <v>#DIV/0!</v>
      </c>
      <c r="L231" s="204" t="e">
        <f t="shared" si="70"/>
        <v>#DIV/0!</v>
      </c>
      <c r="M231" s="277" t="e">
        <f t="shared" si="81"/>
        <v>#NUM!</v>
      </c>
      <c r="N231" s="201"/>
      <c r="O231" s="205" t="e">
        <f t="shared" si="82"/>
        <v>#DIV/0!</v>
      </c>
      <c r="Q231" s="201" t="e">
        <f t="shared" si="71"/>
        <v>#DIV/0!</v>
      </c>
      <c r="R231" s="204" t="e">
        <f t="shared" si="72"/>
        <v>#DIV/0!</v>
      </c>
      <c r="S231" s="204" t="e">
        <f t="shared" si="73"/>
        <v>#DIV/0!</v>
      </c>
      <c r="T231" s="204" t="e">
        <f t="shared" si="74"/>
        <v>#DIV/0!</v>
      </c>
      <c r="U231" s="105" t="e">
        <f t="shared" si="75"/>
        <v>#NUM!</v>
      </c>
      <c r="V231" s="187" t="e">
        <f t="shared" si="76"/>
        <v>#NUM!</v>
      </c>
      <c r="W231" s="204" t="e">
        <f t="shared" si="77"/>
        <v>#DIV/0!</v>
      </c>
      <c r="X231" s="204" t="e">
        <f t="shared" si="78"/>
        <v>#DIV/0!</v>
      </c>
      <c r="Y231" s="204" t="e">
        <f t="shared" si="79"/>
        <v>#DIV/0!</v>
      </c>
    </row>
    <row r="232" spans="1:25" x14ac:dyDescent="0.2">
      <c r="A232" s="201">
        <v>0</v>
      </c>
      <c r="B232" s="14">
        <f t="shared" si="83"/>
        <v>0</v>
      </c>
      <c r="C232" s="14" t="e">
        <f t="shared" si="65"/>
        <v>#NUM!</v>
      </c>
      <c r="D232" s="202" t="e">
        <f t="shared" si="63"/>
        <v>#NUM!</v>
      </c>
      <c r="E232" s="203" t="e">
        <f t="shared" si="80"/>
        <v>#DIV/0!</v>
      </c>
      <c r="F232" s="201" t="e">
        <f t="shared" si="66"/>
        <v>#DIV/0!</v>
      </c>
      <c r="G232" s="201"/>
      <c r="H232" s="207">
        <f t="shared" si="67"/>
        <v>0</v>
      </c>
      <c r="I232" s="201" t="e">
        <f t="shared" si="64"/>
        <v>#NUM!</v>
      </c>
      <c r="J232" s="204" t="e">
        <f t="shared" si="68"/>
        <v>#DIV/0!</v>
      </c>
      <c r="K232" s="204" t="e">
        <f t="shared" si="69"/>
        <v>#DIV/0!</v>
      </c>
      <c r="L232" s="204" t="e">
        <f t="shared" si="70"/>
        <v>#DIV/0!</v>
      </c>
      <c r="M232" s="277" t="e">
        <f t="shared" si="81"/>
        <v>#NUM!</v>
      </c>
      <c r="N232" s="201"/>
      <c r="O232" s="205" t="e">
        <f t="shared" si="82"/>
        <v>#DIV/0!</v>
      </c>
      <c r="Q232" s="201" t="e">
        <f t="shared" si="71"/>
        <v>#DIV/0!</v>
      </c>
      <c r="R232" s="204" t="e">
        <f t="shared" si="72"/>
        <v>#DIV/0!</v>
      </c>
      <c r="S232" s="204" t="e">
        <f t="shared" si="73"/>
        <v>#DIV/0!</v>
      </c>
      <c r="T232" s="204" t="e">
        <f t="shared" si="74"/>
        <v>#DIV/0!</v>
      </c>
      <c r="U232" s="105" t="e">
        <f t="shared" si="75"/>
        <v>#NUM!</v>
      </c>
      <c r="V232" s="187" t="e">
        <f t="shared" si="76"/>
        <v>#NUM!</v>
      </c>
      <c r="W232" s="204" t="e">
        <f t="shared" si="77"/>
        <v>#DIV/0!</v>
      </c>
      <c r="X232" s="204" t="e">
        <f t="shared" si="78"/>
        <v>#DIV/0!</v>
      </c>
      <c r="Y232" s="204" t="e">
        <f t="shared" si="79"/>
        <v>#DIV/0!</v>
      </c>
    </row>
    <row r="233" spans="1:25" x14ac:dyDescent="0.2">
      <c r="A233" s="201">
        <v>0</v>
      </c>
      <c r="B233" s="14">
        <f t="shared" si="83"/>
        <v>0</v>
      </c>
      <c r="C233" s="14" t="e">
        <f t="shared" si="65"/>
        <v>#NUM!</v>
      </c>
      <c r="D233" s="202" t="e">
        <f t="shared" si="63"/>
        <v>#NUM!</v>
      </c>
      <c r="E233" s="203" t="e">
        <f t="shared" si="80"/>
        <v>#DIV/0!</v>
      </c>
      <c r="F233" s="201" t="e">
        <f t="shared" si="66"/>
        <v>#DIV/0!</v>
      </c>
      <c r="G233" s="201"/>
      <c r="H233" s="207">
        <f t="shared" si="67"/>
        <v>0</v>
      </c>
      <c r="I233" s="201" t="e">
        <f t="shared" si="64"/>
        <v>#NUM!</v>
      </c>
      <c r="J233" s="204" t="e">
        <f t="shared" si="68"/>
        <v>#DIV/0!</v>
      </c>
      <c r="K233" s="204" t="e">
        <f t="shared" si="69"/>
        <v>#DIV/0!</v>
      </c>
      <c r="L233" s="204" t="e">
        <f t="shared" si="70"/>
        <v>#DIV/0!</v>
      </c>
      <c r="M233" s="277" t="e">
        <f t="shared" si="81"/>
        <v>#NUM!</v>
      </c>
      <c r="N233" s="201"/>
      <c r="O233" s="205" t="e">
        <f t="shared" si="82"/>
        <v>#DIV/0!</v>
      </c>
      <c r="Q233" s="201" t="e">
        <f t="shared" si="71"/>
        <v>#DIV/0!</v>
      </c>
      <c r="R233" s="204" t="e">
        <f t="shared" si="72"/>
        <v>#DIV/0!</v>
      </c>
      <c r="S233" s="204" t="e">
        <f t="shared" si="73"/>
        <v>#DIV/0!</v>
      </c>
      <c r="T233" s="204" t="e">
        <f t="shared" si="74"/>
        <v>#DIV/0!</v>
      </c>
      <c r="U233" s="105" t="e">
        <f t="shared" si="75"/>
        <v>#NUM!</v>
      </c>
      <c r="V233" s="187" t="e">
        <f t="shared" si="76"/>
        <v>#NUM!</v>
      </c>
      <c r="W233" s="204" t="e">
        <f t="shared" si="77"/>
        <v>#DIV/0!</v>
      </c>
      <c r="X233" s="204" t="e">
        <f t="shared" si="78"/>
        <v>#DIV/0!</v>
      </c>
      <c r="Y233" s="204" t="e">
        <f t="shared" si="79"/>
        <v>#DIV/0!</v>
      </c>
    </row>
    <row r="234" spans="1:25" x14ac:dyDescent="0.2">
      <c r="A234" s="201">
        <v>0</v>
      </c>
      <c r="B234" s="14">
        <f t="shared" si="83"/>
        <v>0</v>
      </c>
      <c r="C234" s="14" t="e">
        <f t="shared" si="65"/>
        <v>#NUM!</v>
      </c>
      <c r="D234" s="202" t="e">
        <f t="shared" si="63"/>
        <v>#NUM!</v>
      </c>
      <c r="E234" s="203" t="e">
        <f t="shared" si="80"/>
        <v>#DIV/0!</v>
      </c>
      <c r="F234" s="201" t="e">
        <f t="shared" si="66"/>
        <v>#DIV/0!</v>
      </c>
      <c r="G234" s="201"/>
      <c r="H234" s="207">
        <f t="shared" si="67"/>
        <v>0</v>
      </c>
      <c r="I234" s="201" t="e">
        <f t="shared" si="64"/>
        <v>#NUM!</v>
      </c>
      <c r="J234" s="204" t="e">
        <f t="shared" si="68"/>
        <v>#DIV/0!</v>
      </c>
      <c r="K234" s="204" t="e">
        <f t="shared" si="69"/>
        <v>#DIV/0!</v>
      </c>
      <c r="L234" s="204" t="e">
        <f t="shared" si="70"/>
        <v>#DIV/0!</v>
      </c>
      <c r="M234" s="277" t="e">
        <f t="shared" si="81"/>
        <v>#NUM!</v>
      </c>
      <c r="N234" s="201"/>
      <c r="O234" s="205" t="e">
        <f t="shared" si="82"/>
        <v>#DIV/0!</v>
      </c>
      <c r="Q234" s="201" t="e">
        <f t="shared" si="71"/>
        <v>#DIV/0!</v>
      </c>
      <c r="R234" s="204" t="e">
        <f t="shared" si="72"/>
        <v>#DIV/0!</v>
      </c>
      <c r="S234" s="204" t="e">
        <f t="shared" si="73"/>
        <v>#DIV/0!</v>
      </c>
      <c r="T234" s="204" t="e">
        <f t="shared" si="74"/>
        <v>#DIV/0!</v>
      </c>
      <c r="U234" s="105" t="e">
        <f t="shared" si="75"/>
        <v>#NUM!</v>
      </c>
      <c r="V234" s="187" t="e">
        <f t="shared" si="76"/>
        <v>#NUM!</v>
      </c>
      <c r="W234" s="204" t="e">
        <f t="shared" si="77"/>
        <v>#DIV/0!</v>
      </c>
      <c r="X234" s="204" t="e">
        <f t="shared" si="78"/>
        <v>#DIV/0!</v>
      </c>
      <c r="Y234" s="204" t="e">
        <f t="shared" si="79"/>
        <v>#DIV/0!</v>
      </c>
    </row>
    <row r="235" spans="1:25" x14ac:dyDescent="0.2">
      <c r="A235" s="201">
        <v>0</v>
      </c>
      <c r="B235" s="14">
        <f t="shared" si="83"/>
        <v>0</v>
      </c>
      <c r="C235" s="14" t="e">
        <f t="shared" si="65"/>
        <v>#NUM!</v>
      </c>
      <c r="D235" s="202" t="e">
        <f t="shared" si="63"/>
        <v>#NUM!</v>
      </c>
      <c r="E235" s="203" t="e">
        <f t="shared" si="80"/>
        <v>#DIV/0!</v>
      </c>
      <c r="F235" s="201" t="e">
        <f t="shared" si="66"/>
        <v>#DIV/0!</v>
      </c>
      <c r="G235" s="201"/>
      <c r="H235" s="207">
        <f t="shared" si="67"/>
        <v>0</v>
      </c>
      <c r="I235" s="201" t="e">
        <f t="shared" si="64"/>
        <v>#NUM!</v>
      </c>
      <c r="J235" s="204" t="e">
        <f t="shared" si="68"/>
        <v>#DIV/0!</v>
      </c>
      <c r="K235" s="204" t="e">
        <f t="shared" si="69"/>
        <v>#DIV/0!</v>
      </c>
      <c r="L235" s="204" t="e">
        <f t="shared" si="70"/>
        <v>#DIV/0!</v>
      </c>
      <c r="M235" s="277" t="e">
        <f t="shared" si="81"/>
        <v>#NUM!</v>
      </c>
      <c r="N235" s="201"/>
      <c r="O235" s="205" t="e">
        <f t="shared" si="82"/>
        <v>#DIV/0!</v>
      </c>
      <c r="Q235" s="201" t="e">
        <f t="shared" si="71"/>
        <v>#DIV/0!</v>
      </c>
      <c r="R235" s="204" t="e">
        <f t="shared" si="72"/>
        <v>#DIV/0!</v>
      </c>
      <c r="S235" s="204" t="e">
        <f t="shared" si="73"/>
        <v>#DIV/0!</v>
      </c>
      <c r="T235" s="204" t="e">
        <f t="shared" si="74"/>
        <v>#DIV/0!</v>
      </c>
      <c r="U235" s="105" t="e">
        <f t="shared" si="75"/>
        <v>#NUM!</v>
      </c>
      <c r="V235" s="187" t="e">
        <f t="shared" si="76"/>
        <v>#NUM!</v>
      </c>
      <c r="W235" s="204" t="e">
        <f t="shared" si="77"/>
        <v>#DIV/0!</v>
      </c>
      <c r="X235" s="204" t="e">
        <f t="shared" si="78"/>
        <v>#DIV/0!</v>
      </c>
      <c r="Y235" s="204" t="e">
        <f t="shared" si="79"/>
        <v>#DIV/0!</v>
      </c>
    </row>
    <row r="236" spans="1:25" x14ac:dyDescent="0.2">
      <c r="A236" s="201">
        <v>0</v>
      </c>
      <c r="B236" s="14">
        <f t="shared" si="83"/>
        <v>0</v>
      </c>
      <c r="C236" s="14" t="e">
        <f t="shared" si="65"/>
        <v>#NUM!</v>
      </c>
      <c r="D236" s="202" t="e">
        <f t="shared" si="63"/>
        <v>#NUM!</v>
      </c>
      <c r="E236" s="203" t="e">
        <f t="shared" si="80"/>
        <v>#DIV/0!</v>
      </c>
      <c r="F236" s="201" t="e">
        <f t="shared" si="66"/>
        <v>#DIV/0!</v>
      </c>
      <c r="G236" s="201"/>
      <c r="H236" s="207">
        <f t="shared" si="67"/>
        <v>0</v>
      </c>
      <c r="I236" s="201" t="e">
        <f t="shared" si="64"/>
        <v>#NUM!</v>
      </c>
      <c r="J236" s="204" t="e">
        <f t="shared" si="68"/>
        <v>#DIV/0!</v>
      </c>
      <c r="K236" s="204" t="e">
        <f t="shared" si="69"/>
        <v>#DIV/0!</v>
      </c>
      <c r="L236" s="204" t="e">
        <f t="shared" si="70"/>
        <v>#DIV/0!</v>
      </c>
      <c r="M236" s="277" t="e">
        <f t="shared" si="81"/>
        <v>#NUM!</v>
      </c>
      <c r="N236" s="201"/>
      <c r="O236" s="205" t="e">
        <f t="shared" si="82"/>
        <v>#DIV/0!</v>
      </c>
      <c r="Q236" s="201" t="e">
        <f t="shared" si="71"/>
        <v>#DIV/0!</v>
      </c>
      <c r="R236" s="204" t="e">
        <f t="shared" si="72"/>
        <v>#DIV/0!</v>
      </c>
      <c r="S236" s="204" t="e">
        <f t="shared" si="73"/>
        <v>#DIV/0!</v>
      </c>
      <c r="T236" s="204" t="e">
        <f t="shared" si="74"/>
        <v>#DIV/0!</v>
      </c>
      <c r="U236" s="105" t="e">
        <f t="shared" si="75"/>
        <v>#NUM!</v>
      </c>
      <c r="V236" s="187" t="e">
        <f t="shared" si="76"/>
        <v>#NUM!</v>
      </c>
      <c r="W236" s="204" t="e">
        <f t="shared" si="77"/>
        <v>#DIV/0!</v>
      </c>
      <c r="X236" s="204" t="e">
        <f t="shared" si="78"/>
        <v>#DIV/0!</v>
      </c>
      <c r="Y236" s="204" t="e">
        <f t="shared" si="79"/>
        <v>#DIV/0!</v>
      </c>
    </row>
    <row r="237" spans="1:25" x14ac:dyDescent="0.2">
      <c r="A237" s="201">
        <v>0</v>
      </c>
      <c r="B237" s="14">
        <f t="shared" si="83"/>
        <v>0</v>
      </c>
      <c r="C237" s="14" t="e">
        <f t="shared" si="65"/>
        <v>#NUM!</v>
      </c>
      <c r="D237" s="202" t="e">
        <f t="shared" si="63"/>
        <v>#NUM!</v>
      </c>
      <c r="E237" s="203" t="e">
        <f t="shared" si="80"/>
        <v>#DIV/0!</v>
      </c>
      <c r="F237" s="201" t="e">
        <f t="shared" si="66"/>
        <v>#DIV/0!</v>
      </c>
      <c r="G237" s="201"/>
      <c r="H237" s="207">
        <f t="shared" si="67"/>
        <v>0</v>
      </c>
      <c r="I237" s="201" t="e">
        <f t="shared" si="64"/>
        <v>#NUM!</v>
      </c>
      <c r="J237" s="204" t="e">
        <f t="shared" si="68"/>
        <v>#DIV/0!</v>
      </c>
      <c r="K237" s="204" t="e">
        <f t="shared" si="69"/>
        <v>#DIV/0!</v>
      </c>
      <c r="L237" s="204" t="e">
        <f t="shared" si="70"/>
        <v>#DIV/0!</v>
      </c>
      <c r="M237" s="277" t="e">
        <f t="shared" si="81"/>
        <v>#NUM!</v>
      </c>
      <c r="N237" s="201"/>
      <c r="O237" s="205" t="e">
        <f t="shared" si="82"/>
        <v>#DIV/0!</v>
      </c>
      <c r="Q237" s="201" t="e">
        <f t="shared" si="71"/>
        <v>#DIV/0!</v>
      </c>
      <c r="R237" s="204" t="e">
        <f t="shared" si="72"/>
        <v>#DIV/0!</v>
      </c>
      <c r="S237" s="204" t="e">
        <f t="shared" si="73"/>
        <v>#DIV/0!</v>
      </c>
      <c r="T237" s="204" t="e">
        <f t="shared" si="74"/>
        <v>#DIV/0!</v>
      </c>
      <c r="U237" s="105" t="e">
        <f t="shared" si="75"/>
        <v>#NUM!</v>
      </c>
      <c r="V237" s="187" t="e">
        <f t="shared" si="76"/>
        <v>#NUM!</v>
      </c>
      <c r="W237" s="204" t="e">
        <f t="shared" si="77"/>
        <v>#DIV/0!</v>
      </c>
      <c r="X237" s="204" t="e">
        <f t="shared" si="78"/>
        <v>#DIV/0!</v>
      </c>
      <c r="Y237" s="204" t="e">
        <f t="shared" si="79"/>
        <v>#DIV/0!</v>
      </c>
    </row>
    <row r="238" spans="1:25" x14ac:dyDescent="0.2">
      <c r="A238" s="201">
        <v>0</v>
      </c>
      <c r="B238" s="14">
        <f t="shared" si="83"/>
        <v>0</v>
      </c>
      <c r="C238" s="14" t="e">
        <f t="shared" si="65"/>
        <v>#NUM!</v>
      </c>
      <c r="D238" s="202" t="e">
        <f t="shared" si="63"/>
        <v>#NUM!</v>
      </c>
      <c r="E238" s="203" t="e">
        <f t="shared" si="80"/>
        <v>#DIV/0!</v>
      </c>
      <c r="F238" s="201" t="e">
        <f t="shared" si="66"/>
        <v>#DIV/0!</v>
      </c>
      <c r="G238" s="201"/>
      <c r="H238" s="207">
        <f t="shared" si="67"/>
        <v>0</v>
      </c>
      <c r="I238" s="201" t="e">
        <f t="shared" si="64"/>
        <v>#NUM!</v>
      </c>
      <c r="J238" s="204" t="e">
        <f t="shared" si="68"/>
        <v>#DIV/0!</v>
      </c>
      <c r="K238" s="204" t="e">
        <f t="shared" si="69"/>
        <v>#DIV/0!</v>
      </c>
      <c r="L238" s="204" t="e">
        <f t="shared" si="70"/>
        <v>#DIV/0!</v>
      </c>
      <c r="M238" s="277" t="e">
        <f t="shared" si="81"/>
        <v>#NUM!</v>
      </c>
      <c r="N238" s="201"/>
      <c r="O238" s="205" t="e">
        <f t="shared" si="82"/>
        <v>#DIV/0!</v>
      </c>
      <c r="Q238" s="201" t="e">
        <f t="shared" si="71"/>
        <v>#DIV/0!</v>
      </c>
      <c r="R238" s="204" t="e">
        <f t="shared" si="72"/>
        <v>#DIV/0!</v>
      </c>
      <c r="S238" s="204" t="e">
        <f t="shared" si="73"/>
        <v>#DIV/0!</v>
      </c>
      <c r="T238" s="204" t="e">
        <f t="shared" si="74"/>
        <v>#DIV/0!</v>
      </c>
      <c r="U238" s="105" t="e">
        <f t="shared" si="75"/>
        <v>#NUM!</v>
      </c>
      <c r="V238" s="187" t="e">
        <f t="shared" si="76"/>
        <v>#NUM!</v>
      </c>
      <c r="W238" s="204" t="e">
        <f t="shared" si="77"/>
        <v>#DIV/0!</v>
      </c>
      <c r="X238" s="204" t="e">
        <f t="shared" si="78"/>
        <v>#DIV/0!</v>
      </c>
      <c r="Y238" s="204" t="e">
        <f t="shared" si="79"/>
        <v>#DIV/0!</v>
      </c>
    </row>
    <row r="239" spans="1:25" x14ac:dyDescent="0.2">
      <c r="A239" s="201">
        <v>0</v>
      </c>
      <c r="B239" s="14">
        <f t="shared" si="83"/>
        <v>0</v>
      </c>
      <c r="C239" s="14" t="e">
        <f t="shared" si="65"/>
        <v>#NUM!</v>
      </c>
      <c r="D239" s="202" t="e">
        <f t="shared" si="63"/>
        <v>#NUM!</v>
      </c>
      <c r="E239" s="203" t="e">
        <f t="shared" si="80"/>
        <v>#DIV/0!</v>
      </c>
      <c r="F239" s="201" t="e">
        <f t="shared" si="66"/>
        <v>#DIV/0!</v>
      </c>
      <c r="G239" s="201"/>
      <c r="H239" s="207">
        <f t="shared" si="67"/>
        <v>0</v>
      </c>
      <c r="I239" s="201" t="e">
        <f t="shared" si="64"/>
        <v>#NUM!</v>
      </c>
      <c r="J239" s="204" t="e">
        <f t="shared" si="68"/>
        <v>#DIV/0!</v>
      </c>
      <c r="K239" s="204" t="e">
        <f t="shared" si="69"/>
        <v>#DIV/0!</v>
      </c>
      <c r="L239" s="204" t="e">
        <f t="shared" si="70"/>
        <v>#DIV/0!</v>
      </c>
      <c r="M239" s="277" t="e">
        <f t="shared" si="81"/>
        <v>#NUM!</v>
      </c>
      <c r="N239" s="201"/>
      <c r="O239" s="205" t="e">
        <f t="shared" si="82"/>
        <v>#DIV/0!</v>
      </c>
      <c r="Q239" s="201" t="e">
        <f t="shared" si="71"/>
        <v>#DIV/0!</v>
      </c>
      <c r="R239" s="204" t="e">
        <f t="shared" si="72"/>
        <v>#DIV/0!</v>
      </c>
      <c r="S239" s="204" t="e">
        <f t="shared" si="73"/>
        <v>#DIV/0!</v>
      </c>
      <c r="T239" s="204" t="e">
        <f t="shared" si="74"/>
        <v>#DIV/0!</v>
      </c>
      <c r="U239" s="105" t="e">
        <f t="shared" si="75"/>
        <v>#NUM!</v>
      </c>
      <c r="V239" s="187" t="e">
        <f t="shared" si="76"/>
        <v>#NUM!</v>
      </c>
      <c r="W239" s="204" t="e">
        <f t="shared" si="77"/>
        <v>#DIV/0!</v>
      </c>
      <c r="X239" s="204" t="e">
        <f t="shared" si="78"/>
        <v>#DIV/0!</v>
      </c>
      <c r="Y239" s="204" t="e">
        <f t="shared" si="79"/>
        <v>#DIV/0!</v>
      </c>
    </row>
    <row r="240" spans="1:25" x14ac:dyDescent="0.2">
      <c r="A240" s="201">
        <v>0</v>
      </c>
      <c r="B240" s="14">
        <f t="shared" si="83"/>
        <v>0</v>
      </c>
      <c r="C240" s="14" t="e">
        <f t="shared" si="65"/>
        <v>#NUM!</v>
      </c>
      <c r="D240" s="202" t="e">
        <f t="shared" si="63"/>
        <v>#NUM!</v>
      </c>
      <c r="E240" s="203" t="e">
        <f t="shared" si="80"/>
        <v>#DIV/0!</v>
      </c>
      <c r="F240" s="201" t="e">
        <f t="shared" si="66"/>
        <v>#DIV/0!</v>
      </c>
      <c r="G240" s="201"/>
      <c r="H240" s="207">
        <f t="shared" si="67"/>
        <v>0</v>
      </c>
      <c r="I240" s="201" t="e">
        <f t="shared" si="64"/>
        <v>#NUM!</v>
      </c>
      <c r="J240" s="204" t="e">
        <f t="shared" si="68"/>
        <v>#DIV/0!</v>
      </c>
      <c r="K240" s="204" t="e">
        <f t="shared" si="69"/>
        <v>#DIV/0!</v>
      </c>
      <c r="L240" s="204" t="e">
        <f t="shared" si="70"/>
        <v>#DIV/0!</v>
      </c>
      <c r="M240" s="277" t="e">
        <f t="shared" si="81"/>
        <v>#NUM!</v>
      </c>
      <c r="N240" s="201"/>
      <c r="O240" s="205" t="e">
        <f t="shared" si="82"/>
        <v>#DIV/0!</v>
      </c>
      <c r="Q240" s="201" t="e">
        <f t="shared" si="71"/>
        <v>#DIV/0!</v>
      </c>
      <c r="R240" s="204" t="e">
        <f t="shared" si="72"/>
        <v>#DIV/0!</v>
      </c>
      <c r="S240" s="204" t="e">
        <f t="shared" si="73"/>
        <v>#DIV/0!</v>
      </c>
      <c r="T240" s="204" t="e">
        <f t="shared" si="74"/>
        <v>#DIV/0!</v>
      </c>
      <c r="U240" s="105" t="e">
        <f t="shared" si="75"/>
        <v>#NUM!</v>
      </c>
      <c r="V240" s="187" t="e">
        <f t="shared" si="76"/>
        <v>#NUM!</v>
      </c>
      <c r="W240" s="204" t="e">
        <f t="shared" si="77"/>
        <v>#DIV/0!</v>
      </c>
      <c r="X240" s="204" t="e">
        <f t="shared" si="78"/>
        <v>#DIV/0!</v>
      </c>
      <c r="Y240" s="204" t="e">
        <f t="shared" si="79"/>
        <v>#DIV/0!</v>
      </c>
    </row>
    <row r="241" spans="1:25" x14ac:dyDescent="0.2">
      <c r="A241" s="201">
        <v>0</v>
      </c>
      <c r="B241" s="14">
        <f t="shared" si="83"/>
        <v>0</v>
      </c>
      <c r="C241" s="14" t="e">
        <f t="shared" si="65"/>
        <v>#NUM!</v>
      </c>
      <c r="D241" s="202" t="e">
        <f t="shared" si="63"/>
        <v>#NUM!</v>
      </c>
      <c r="E241" s="203" t="e">
        <f t="shared" si="80"/>
        <v>#DIV/0!</v>
      </c>
      <c r="F241" s="201" t="e">
        <f t="shared" si="66"/>
        <v>#DIV/0!</v>
      </c>
      <c r="G241" s="201"/>
      <c r="H241" s="207">
        <f t="shared" si="67"/>
        <v>0</v>
      </c>
      <c r="I241" s="201" t="e">
        <f t="shared" si="64"/>
        <v>#NUM!</v>
      </c>
      <c r="J241" s="204" t="e">
        <f t="shared" si="68"/>
        <v>#DIV/0!</v>
      </c>
      <c r="K241" s="204" t="e">
        <f t="shared" si="69"/>
        <v>#DIV/0!</v>
      </c>
      <c r="L241" s="204" t="e">
        <f t="shared" si="70"/>
        <v>#DIV/0!</v>
      </c>
      <c r="M241" s="277" t="e">
        <f t="shared" si="81"/>
        <v>#NUM!</v>
      </c>
      <c r="N241" s="201"/>
      <c r="O241" s="205" t="e">
        <f t="shared" si="82"/>
        <v>#DIV/0!</v>
      </c>
      <c r="Q241" s="201" t="e">
        <f t="shared" si="71"/>
        <v>#DIV/0!</v>
      </c>
      <c r="R241" s="204" t="e">
        <f t="shared" si="72"/>
        <v>#DIV/0!</v>
      </c>
      <c r="S241" s="204" t="e">
        <f t="shared" si="73"/>
        <v>#DIV/0!</v>
      </c>
      <c r="T241" s="204" t="e">
        <f t="shared" si="74"/>
        <v>#DIV/0!</v>
      </c>
      <c r="U241" s="105" t="e">
        <f t="shared" si="75"/>
        <v>#NUM!</v>
      </c>
      <c r="V241" s="187" t="e">
        <f t="shared" si="76"/>
        <v>#NUM!</v>
      </c>
      <c r="W241" s="204" t="e">
        <f t="shared" si="77"/>
        <v>#DIV/0!</v>
      </c>
      <c r="X241" s="204" t="e">
        <f t="shared" si="78"/>
        <v>#DIV/0!</v>
      </c>
      <c r="Y241" s="204" t="e">
        <f t="shared" si="79"/>
        <v>#DIV/0!</v>
      </c>
    </row>
    <row r="242" spans="1:25" x14ac:dyDescent="0.2">
      <c r="A242" s="201">
        <v>0</v>
      </c>
      <c r="B242" s="14">
        <f t="shared" si="83"/>
        <v>0</v>
      </c>
      <c r="C242" s="14" t="e">
        <f t="shared" si="65"/>
        <v>#NUM!</v>
      </c>
      <c r="D242" s="202" t="e">
        <f t="shared" si="63"/>
        <v>#NUM!</v>
      </c>
      <c r="E242" s="203" t="e">
        <f t="shared" si="80"/>
        <v>#DIV/0!</v>
      </c>
      <c r="F242" s="201" t="e">
        <f t="shared" si="66"/>
        <v>#DIV/0!</v>
      </c>
      <c r="G242" s="201"/>
      <c r="H242" s="207">
        <f t="shared" si="67"/>
        <v>0</v>
      </c>
      <c r="I242" s="201" t="e">
        <f t="shared" si="64"/>
        <v>#NUM!</v>
      </c>
      <c r="J242" s="204" t="e">
        <f t="shared" si="68"/>
        <v>#DIV/0!</v>
      </c>
      <c r="K242" s="204" t="e">
        <f t="shared" si="69"/>
        <v>#DIV/0!</v>
      </c>
      <c r="L242" s="204" t="e">
        <f t="shared" si="70"/>
        <v>#DIV/0!</v>
      </c>
      <c r="M242" s="277" t="e">
        <f t="shared" si="81"/>
        <v>#NUM!</v>
      </c>
      <c r="N242" s="201"/>
      <c r="O242" s="205" t="e">
        <f t="shared" si="82"/>
        <v>#DIV/0!</v>
      </c>
      <c r="Q242" s="201" t="e">
        <f t="shared" si="71"/>
        <v>#DIV/0!</v>
      </c>
      <c r="R242" s="204" t="e">
        <f t="shared" si="72"/>
        <v>#DIV/0!</v>
      </c>
      <c r="S242" s="204" t="e">
        <f t="shared" si="73"/>
        <v>#DIV/0!</v>
      </c>
      <c r="T242" s="204" t="e">
        <f t="shared" si="74"/>
        <v>#DIV/0!</v>
      </c>
      <c r="U242" s="105" t="e">
        <f t="shared" si="75"/>
        <v>#NUM!</v>
      </c>
      <c r="V242" s="187" t="e">
        <f t="shared" si="76"/>
        <v>#NUM!</v>
      </c>
      <c r="W242" s="204" t="e">
        <f t="shared" si="77"/>
        <v>#DIV/0!</v>
      </c>
      <c r="X242" s="204" t="e">
        <f t="shared" si="78"/>
        <v>#DIV/0!</v>
      </c>
      <c r="Y242" s="204" t="e">
        <f t="shared" si="79"/>
        <v>#DIV/0!</v>
      </c>
    </row>
    <row r="243" spans="1:25" x14ac:dyDescent="0.2">
      <c r="A243" s="201">
        <v>0</v>
      </c>
      <c r="B243" s="14">
        <f t="shared" si="83"/>
        <v>0</v>
      </c>
      <c r="C243" s="14" t="e">
        <f t="shared" si="65"/>
        <v>#NUM!</v>
      </c>
      <c r="D243" s="202" t="e">
        <f t="shared" ref="D243:D250" si="84">(C242+C243)/2</f>
        <v>#NUM!</v>
      </c>
      <c r="E243" s="203" t="e">
        <f t="shared" si="80"/>
        <v>#DIV/0!</v>
      </c>
      <c r="F243" s="201" t="e">
        <f t="shared" si="66"/>
        <v>#DIV/0!</v>
      </c>
      <c r="G243" s="201"/>
      <c r="H243" s="207">
        <f t="shared" si="67"/>
        <v>0</v>
      </c>
      <c r="I243" s="201" t="e">
        <f t="shared" si="64"/>
        <v>#NUM!</v>
      </c>
      <c r="J243" s="204" t="e">
        <f t="shared" si="68"/>
        <v>#DIV/0!</v>
      </c>
      <c r="K243" s="204" t="e">
        <f t="shared" si="69"/>
        <v>#DIV/0!</v>
      </c>
      <c r="L243" s="204" t="e">
        <f t="shared" si="70"/>
        <v>#DIV/0!</v>
      </c>
      <c r="M243" s="277" t="e">
        <f t="shared" si="81"/>
        <v>#NUM!</v>
      </c>
      <c r="N243" s="201"/>
      <c r="O243" s="205" t="e">
        <f t="shared" si="82"/>
        <v>#DIV/0!</v>
      </c>
      <c r="Q243" s="201" t="e">
        <f t="shared" si="71"/>
        <v>#DIV/0!</v>
      </c>
      <c r="R243" s="204" t="e">
        <f t="shared" si="72"/>
        <v>#DIV/0!</v>
      </c>
      <c r="S243" s="204" t="e">
        <f t="shared" si="73"/>
        <v>#DIV/0!</v>
      </c>
      <c r="T243" s="204" t="e">
        <f t="shared" si="74"/>
        <v>#DIV/0!</v>
      </c>
      <c r="U243" s="105" t="e">
        <f t="shared" si="75"/>
        <v>#NUM!</v>
      </c>
      <c r="V243" s="187" t="e">
        <f t="shared" si="76"/>
        <v>#NUM!</v>
      </c>
      <c r="W243" s="204" t="e">
        <f t="shared" si="77"/>
        <v>#DIV/0!</v>
      </c>
      <c r="X243" s="204" t="e">
        <f t="shared" si="78"/>
        <v>#DIV/0!</v>
      </c>
      <c r="Y243" s="204" t="e">
        <f t="shared" si="79"/>
        <v>#DIV/0!</v>
      </c>
    </row>
    <row r="244" spans="1:25" x14ac:dyDescent="0.2">
      <c r="A244" s="201">
        <v>0</v>
      </c>
      <c r="B244" s="14">
        <f t="shared" si="83"/>
        <v>0</v>
      </c>
      <c r="C244" s="14" t="e">
        <f t="shared" si="65"/>
        <v>#NUM!</v>
      </c>
      <c r="D244" s="202" t="e">
        <f t="shared" si="84"/>
        <v>#NUM!</v>
      </c>
      <c r="E244" s="203" t="e">
        <f t="shared" si="80"/>
        <v>#DIV/0!</v>
      </c>
      <c r="F244" s="201" t="e">
        <f t="shared" si="66"/>
        <v>#DIV/0!</v>
      </c>
      <c r="G244" s="201"/>
      <c r="H244" s="207">
        <f t="shared" si="67"/>
        <v>0</v>
      </c>
      <c r="I244" s="201" t="e">
        <f t="shared" si="64"/>
        <v>#NUM!</v>
      </c>
      <c r="J244" s="204" t="e">
        <f t="shared" si="68"/>
        <v>#DIV/0!</v>
      </c>
      <c r="K244" s="204" t="e">
        <f t="shared" si="69"/>
        <v>#DIV/0!</v>
      </c>
      <c r="L244" s="204" t="e">
        <f t="shared" si="70"/>
        <v>#DIV/0!</v>
      </c>
      <c r="M244" s="277" t="e">
        <f t="shared" si="81"/>
        <v>#NUM!</v>
      </c>
      <c r="N244" s="201"/>
      <c r="O244" s="205" t="e">
        <f t="shared" si="82"/>
        <v>#DIV/0!</v>
      </c>
      <c r="Q244" s="201" t="e">
        <f t="shared" si="71"/>
        <v>#DIV/0!</v>
      </c>
      <c r="R244" s="204" t="e">
        <f t="shared" si="72"/>
        <v>#DIV/0!</v>
      </c>
      <c r="S244" s="204" t="e">
        <f t="shared" si="73"/>
        <v>#DIV/0!</v>
      </c>
      <c r="T244" s="204" t="e">
        <f t="shared" si="74"/>
        <v>#DIV/0!</v>
      </c>
      <c r="U244" s="105" t="e">
        <f t="shared" si="75"/>
        <v>#NUM!</v>
      </c>
      <c r="V244" s="187" t="e">
        <f t="shared" si="76"/>
        <v>#NUM!</v>
      </c>
      <c r="W244" s="204" t="e">
        <f t="shared" si="77"/>
        <v>#DIV/0!</v>
      </c>
      <c r="X244" s="204" t="e">
        <f t="shared" si="78"/>
        <v>#DIV/0!</v>
      </c>
      <c r="Y244" s="204" t="e">
        <f t="shared" si="79"/>
        <v>#DIV/0!</v>
      </c>
    </row>
    <row r="245" spans="1:25" x14ac:dyDescent="0.2">
      <c r="A245" s="201">
        <v>0</v>
      </c>
      <c r="B245" s="14">
        <f t="shared" si="83"/>
        <v>0</v>
      </c>
      <c r="C245" s="14" t="e">
        <f t="shared" si="65"/>
        <v>#NUM!</v>
      </c>
      <c r="D245" s="202" t="e">
        <f t="shared" si="84"/>
        <v>#NUM!</v>
      </c>
      <c r="E245" s="203" t="e">
        <f t="shared" si="80"/>
        <v>#DIV/0!</v>
      </c>
      <c r="F245" s="201" t="e">
        <f t="shared" si="66"/>
        <v>#DIV/0!</v>
      </c>
      <c r="G245" s="201"/>
      <c r="H245" s="207">
        <f t="shared" si="67"/>
        <v>0</v>
      </c>
      <c r="I245" s="201" t="e">
        <f t="shared" si="64"/>
        <v>#NUM!</v>
      </c>
      <c r="J245" s="204" t="e">
        <f t="shared" si="68"/>
        <v>#DIV/0!</v>
      </c>
      <c r="K245" s="204" t="e">
        <f t="shared" si="69"/>
        <v>#DIV/0!</v>
      </c>
      <c r="L245" s="204" t="e">
        <f t="shared" si="70"/>
        <v>#DIV/0!</v>
      </c>
      <c r="M245" s="277" t="e">
        <f t="shared" si="81"/>
        <v>#NUM!</v>
      </c>
      <c r="N245" s="201"/>
      <c r="O245" s="205" t="e">
        <f t="shared" si="82"/>
        <v>#DIV/0!</v>
      </c>
      <c r="Q245" s="201" t="e">
        <f t="shared" si="71"/>
        <v>#DIV/0!</v>
      </c>
      <c r="R245" s="204" t="e">
        <f t="shared" si="72"/>
        <v>#DIV/0!</v>
      </c>
      <c r="S245" s="204" t="e">
        <f t="shared" si="73"/>
        <v>#DIV/0!</v>
      </c>
      <c r="T245" s="204" t="e">
        <f t="shared" si="74"/>
        <v>#DIV/0!</v>
      </c>
      <c r="U245" s="105" t="e">
        <f t="shared" si="75"/>
        <v>#NUM!</v>
      </c>
      <c r="V245" s="187" t="e">
        <f t="shared" si="76"/>
        <v>#NUM!</v>
      </c>
      <c r="W245" s="204" t="e">
        <f t="shared" si="77"/>
        <v>#DIV/0!</v>
      </c>
      <c r="X245" s="204" t="e">
        <f t="shared" si="78"/>
        <v>#DIV/0!</v>
      </c>
      <c r="Y245" s="204" t="e">
        <f t="shared" si="79"/>
        <v>#DIV/0!</v>
      </c>
    </row>
    <row r="246" spans="1:25" x14ac:dyDescent="0.2">
      <c r="A246" s="201">
        <v>0</v>
      </c>
      <c r="B246" s="14">
        <f t="shared" si="83"/>
        <v>0</v>
      </c>
      <c r="C246" s="14" t="e">
        <f t="shared" si="65"/>
        <v>#NUM!</v>
      </c>
      <c r="D246" s="202" t="e">
        <f t="shared" si="84"/>
        <v>#NUM!</v>
      </c>
      <c r="E246" s="203" t="e">
        <f t="shared" si="80"/>
        <v>#DIV/0!</v>
      </c>
      <c r="F246" s="201" t="e">
        <f t="shared" si="66"/>
        <v>#DIV/0!</v>
      </c>
      <c r="G246" s="201"/>
      <c r="H246" s="207">
        <f t="shared" si="67"/>
        <v>0</v>
      </c>
      <c r="I246" s="201" t="e">
        <f t="shared" si="64"/>
        <v>#NUM!</v>
      </c>
      <c r="J246" s="204" t="e">
        <f t="shared" si="68"/>
        <v>#DIV/0!</v>
      </c>
      <c r="K246" s="204" t="e">
        <f t="shared" si="69"/>
        <v>#DIV/0!</v>
      </c>
      <c r="L246" s="204" t="e">
        <f t="shared" si="70"/>
        <v>#DIV/0!</v>
      </c>
      <c r="M246" s="277" t="e">
        <f t="shared" si="81"/>
        <v>#NUM!</v>
      </c>
      <c r="N246" s="201"/>
      <c r="O246" s="205" t="e">
        <f t="shared" si="82"/>
        <v>#DIV/0!</v>
      </c>
      <c r="Q246" s="201" t="e">
        <f t="shared" si="71"/>
        <v>#DIV/0!</v>
      </c>
      <c r="R246" s="204" t="e">
        <f t="shared" si="72"/>
        <v>#DIV/0!</v>
      </c>
      <c r="S246" s="204" t="e">
        <f t="shared" si="73"/>
        <v>#DIV/0!</v>
      </c>
      <c r="T246" s="204" t="e">
        <f t="shared" si="74"/>
        <v>#DIV/0!</v>
      </c>
      <c r="U246" s="105" t="e">
        <f t="shared" si="75"/>
        <v>#NUM!</v>
      </c>
      <c r="V246" s="187" t="e">
        <f t="shared" si="76"/>
        <v>#NUM!</v>
      </c>
      <c r="W246" s="204" t="e">
        <f t="shared" si="77"/>
        <v>#DIV/0!</v>
      </c>
      <c r="X246" s="204" t="e">
        <f t="shared" si="78"/>
        <v>#DIV/0!</v>
      </c>
      <c r="Y246" s="204" t="e">
        <f t="shared" si="79"/>
        <v>#DIV/0!</v>
      </c>
    </row>
    <row r="247" spans="1:25" x14ac:dyDescent="0.2">
      <c r="A247" s="201">
        <v>0</v>
      </c>
      <c r="B247" s="14">
        <f t="shared" si="83"/>
        <v>0</v>
      </c>
      <c r="C247" s="14" t="e">
        <f t="shared" si="65"/>
        <v>#NUM!</v>
      </c>
      <c r="D247" s="202" t="e">
        <f t="shared" si="84"/>
        <v>#NUM!</v>
      </c>
      <c r="E247" s="203" t="e">
        <f t="shared" si="80"/>
        <v>#DIV/0!</v>
      </c>
      <c r="F247" s="201" t="e">
        <f t="shared" si="66"/>
        <v>#DIV/0!</v>
      </c>
      <c r="G247" s="201"/>
      <c r="H247" s="207">
        <f t="shared" si="67"/>
        <v>0</v>
      </c>
      <c r="I247" s="201" t="e">
        <f t="shared" si="64"/>
        <v>#NUM!</v>
      </c>
      <c r="J247" s="204" t="e">
        <f t="shared" si="68"/>
        <v>#DIV/0!</v>
      </c>
      <c r="K247" s="204" t="e">
        <f t="shared" si="69"/>
        <v>#DIV/0!</v>
      </c>
      <c r="L247" s="204" t="e">
        <f t="shared" si="70"/>
        <v>#DIV/0!</v>
      </c>
      <c r="M247" s="277" t="e">
        <f t="shared" si="81"/>
        <v>#NUM!</v>
      </c>
      <c r="N247" s="201"/>
      <c r="O247" s="205" t="e">
        <f t="shared" si="82"/>
        <v>#DIV/0!</v>
      </c>
      <c r="Q247" s="201" t="e">
        <f t="shared" si="71"/>
        <v>#DIV/0!</v>
      </c>
      <c r="R247" s="204" t="e">
        <f t="shared" si="72"/>
        <v>#DIV/0!</v>
      </c>
      <c r="S247" s="204" t="e">
        <f t="shared" si="73"/>
        <v>#DIV/0!</v>
      </c>
      <c r="T247" s="204" t="e">
        <f t="shared" si="74"/>
        <v>#DIV/0!</v>
      </c>
      <c r="U247" s="105" t="e">
        <f t="shared" si="75"/>
        <v>#NUM!</v>
      </c>
      <c r="V247" s="187" t="e">
        <f t="shared" si="76"/>
        <v>#NUM!</v>
      </c>
      <c r="W247" s="204" t="e">
        <f t="shared" si="77"/>
        <v>#DIV/0!</v>
      </c>
      <c r="X247" s="204" t="e">
        <f t="shared" si="78"/>
        <v>#DIV/0!</v>
      </c>
      <c r="Y247" s="204" t="e">
        <f t="shared" si="79"/>
        <v>#DIV/0!</v>
      </c>
    </row>
    <row r="248" spans="1:25" x14ac:dyDescent="0.2">
      <c r="A248" s="201">
        <v>0</v>
      </c>
      <c r="B248" s="14">
        <f t="shared" si="83"/>
        <v>0</v>
      </c>
      <c r="C248" s="14" t="e">
        <f t="shared" si="65"/>
        <v>#NUM!</v>
      </c>
      <c r="D248" s="202" t="e">
        <f t="shared" si="84"/>
        <v>#NUM!</v>
      </c>
      <c r="E248" s="203" t="e">
        <f t="shared" si="80"/>
        <v>#DIV/0!</v>
      </c>
      <c r="F248" s="201" t="e">
        <f t="shared" si="66"/>
        <v>#DIV/0!</v>
      </c>
      <c r="G248" s="201"/>
      <c r="H248" s="207">
        <f t="shared" si="67"/>
        <v>0</v>
      </c>
      <c r="I248" s="201" t="e">
        <f t="shared" si="64"/>
        <v>#NUM!</v>
      </c>
      <c r="J248" s="204" t="e">
        <f t="shared" si="68"/>
        <v>#DIV/0!</v>
      </c>
      <c r="K248" s="204" t="e">
        <f t="shared" si="69"/>
        <v>#DIV/0!</v>
      </c>
      <c r="L248" s="204" t="e">
        <f t="shared" si="70"/>
        <v>#DIV/0!</v>
      </c>
      <c r="M248" s="277" t="e">
        <f t="shared" si="81"/>
        <v>#NUM!</v>
      </c>
      <c r="N248" s="201"/>
      <c r="O248" s="205" t="e">
        <f t="shared" si="82"/>
        <v>#DIV/0!</v>
      </c>
      <c r="Q248" s="201" t="e">
        <f t="shared" si="71"/>
        <v>#DIV/0!</v>
      </c>
      <c r="R248" s="204" t="e">
        <f t="shared" si="72"/>
        <v>#DIV/0!</v>
      </c>
      <c r="S248" s="204" t="e">
        <f t="shared" si="73"/>
        <v>#DIV/0!</v>
      </c>
      <c r="T248" s="204" t="e">
        <f t="shared" si="74"/>
        <v>#DIV/0!</v>
      </c>
      <c r="U248" s="105" t="e">
        <f t="shared" si="75"/>
        <v>#NUM!</v>
      </c>
      <c r="V248" s="187" t="e">
        <f t="shared" si="76"/>
        <v>#NUM!</v>
      </c>
      <c r="W248" s="204" t="e">
        <f t="shared" si="77"/>
        <v>#DIV/0!</v>
      </c>
      <c r="X248" s="204" t="e">
        <f t="shared" si="78"/>
        <v>#DIV/0!</v>
      </c>
      <c r="Y248" s="204" t="e">
        <f t="shared" si="79"/>
        <v>#DIV/0!</v>
      </c>
    </row>
    <row r="249" spans="1:25" x14ac:dyDescent="0.2">
      <c r="A249" s="201">
        <v>0</v>
      </c>
      <c r="B249" s="14">
        <f t="shared" si="83"/>
        <v>0</v>
      </c>
      <c r="C249" s="14" t="e">
        <f t="shared" si="65"/>
        <v>#NUM!</v>
      </c>
      <c r="D249" s="202" t="e">
        <f t="shared" si="84"/>
        <v>#NUM!</v>
      </c>
      <c r="E249" s="203" t="e">
        <f t="shared" si="80"/>
        <v>#DIV/0!</v>
      </c>
      <c r="F249" s="201" t="e">
        <f t="shared" si="66"/>
        <v>#DIV/0!</v>
      </c>
      <c r="G249" s="201"/>
      <c r="H249" s="207">
        <f t="shared" si="67"/>
        <v>0</v>
      </c>
      <c r="I249" s="201" t="e">
        <f t="shared" si="64"/>
        <v>#NUM!</v>
      </c>
      <c r="J249" s="204" t="e">
        <f t="shared" si="68"/>
        <v>#DIV/0!</v>
      </c>
      <c r="K249" s="204" t="e">
        <f t="shared" si="69"/>
        <v>#DIV/0!</v>
      </c>
      <c r="L249" s="204" t="e">
        <f t="shared" si="70"/>
        <v>#DIV/0!</v>
      </c>
      <c r="M249" s="277" t="e">
        <f t="shared" si="81"/>
        <v>#NUM!</v>
      </c>
      <c r="N249" s="201"/>
      <c r="O249" s="205" t="e">
        <f t="shared" si="82"/>
        <v>#DIV/0!</v>
      </c>
      <c r="Q249" s="201" t="e">
        <f t="shared" si="71"/>
        <v>#DIV/0!</v>
      </c>
      <c r="R249" s="204" t="e">
        <f t="shared" si="72"/>
        <v>#DIV/0!</v>
      </c>
      <c r="S249" s="204" t="e">
        <f t="shared" si="73"/>
        <v>#DIV/0!</v>
      </c>
      <c r="T249" s="204" t="e">
        <f t="shared" si="74"/>
        <v>#DIV/0!</v>
      </c>
      <c r="U249" s="105" t="e">
        <f t="shared" si="75"/>
        <v>#NUM!</v>
      </c>
      <c r="V249" s="187" t="e">
        <f t="shared" si="76"/>
        <v>#NUM!</v>
      </c>
      <c r="W249" s="204" t="e">
        <f t="shared" si="77"/>
        <v>#DIV/0!</v>
      </c>
      <c r="X249" s="204" t="e">
        <f t="shared" si="78"/>
        <v>#DIV/0!</v>
      </c>
      <c r="Y249" s="204" t="e">
        <f t="shared" si="79"/>
        <v>#DIV/0!</v>
      </c>
    </row>
    <row r="250" spans="1:25" x14ac:dyDescent="0.2">
      <c r="A250" s="201">
        <v>0</v>
      </c>
      <c r="B250" s="14">
        <f t="shared" si="83"/>
        <v>0</v>
      </c>
      <c r="C250" s="14" t="e">
        <f t="shared" si="65"/>
        <v>#NUM!</v>
      </c>
      <c r="D250" s="202" t="e">
        <f t="shared" si="84"/>
        <v>#NUM!</v>
      </c>
      <c r="E250" s="203" t="e">
        <f t="shared" si="80"/>
        <v>#DIV/0!</v>
      </c>
      <c r="F250" s="201" t="e">
        <f t="shared" si="66"/>
        <v>#DIV/0!</v>
      </c>
      <c r="G250" s="201"/>
      <c r="H250" s="207">
        <f t="shared" si="67"/>
        <v>0</v>
      </c>
      <c r="I250" s="201" t="e">
        <f t="shared" si="64"/>
        <v>#NUM!</v>
      </c>
      <c r="J250" s="204" t="e">
        <f t="shared" si="68"/>
        <v>#DIV/0!</v>
      </c>
      <c r="K250" s="204" t="e">
        <f t="shared" si="69"/>
        <v>#DIV/0!</v>
      </c>
      <c r="L250" s="204" t="e">
        <f t="shared" si="70"/>
        <v>#DIV/0!</v>
      </c>
      <c r="M250" s="277" t="e">
        <f t="shared" si="81"/>
        <v>#NUM!</v>
      </c>
      <c r="N250" s="201"/>
      <c r="O250" s="205" t="e">
        <f t="shared" si="82"/>
        <v>#DIV/0!</v>
      </c>
      <c r="Q250" s="201" t="e">
        <f t="shared" si="71"/>
        <v>#DIV/0!</v>
      </c>
      <c r="R250" s="204" t="e">
        <f t="shared" si="72"/>
        <v>#DIV/0!</v>
      </c>
      <c r="S250" s="204" t="e">
        <f t="shared" si="73"/>
        <v>#DIV/0!</v>
      </c>
      <c r="T250" s="204" t="e">
        <f t="shared" si="74"/>
        <v>#DIV/0!</v>
      </c>
      <c r="U250" s="105" t="e">
        <f t="shared" si="75"/>
        <v>#NUM!</v>
      </c>
      <c r="V250" s="187" t="e">
        <f t="shared" si="76"/>
        <v>#NUM!</v>
      </c>
      <c r="W250" s="204" t="e">
        <f t="shared" si="77"/>
        <v>#DIV/0!</v>
      </c>
      <c r="X250" s="204" t="e">
        <f t="shared" si="78"/>
        <v>#DIV/0!</v>
      </c>
      <c r="Y250" s="204" t="e">
        <f t="shared" si="79"/>
        <v>#DIV/0!</v>
      </c>
    </row>
  </sheetData>
  <mergeCells count="7">
    <mergeCell ref="BV20:BZ20"/>
    <mergeCell ref="BL18:BV18"/>
    <mergeCell ref="AB20:AF20"/>
    <mergeCell ref="I25:L25"/>
    <mergeCell ref="Q25:T25"/>
    <mergeCell ref="U24:Y24"/>
    <mergeCell ref="U25:Y25"/>
  </mergeCells>
  <phoneticPr fontId="0" type="noConversion"/>
  <printOptions gridLinesSet="0"/>
  <pageMargins left="0.35433070866141736" right="0.35433070866141736" top="0.59055118110236227" bottom="0.78740157480314965" header="0.51181102362204722" footer="0.51181102362204722"/>
  <pageSetup paperSize="9" orientation="portrait" horizontalDpi="300" verticalDpi="300" r:id="rId1"/>
  <headerFooter alignWithMargins="0"/>
  <colBreaks count="1" manualBreakCount="1">
    <brk id="16"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Charts</vt:lpstr>
      </vt:variant>
      <vt:variant>
        <vt:i4>6</vt:i4>
      </vt:variant>
      <vt:variant>
        <vt:lpstr>Named Ranges</vt:lpstr>
      </vt:variant>
      <vt:variant>
        <vt:i4>3</vt:i4>
      </vt:variant>
    </vt:vector>
  </HeadingPairs>
  <TitlesOfParts>
    <vt:vector size="15" baseType="lpstr">
      <vt:lpstr>Information</vt:lpstr>
      <vt:lpstr>Single Sample Data Input</vt:lpstr>
      <vt:lpstr>Single Sample Statistics</vt:lpstr>
      <vt:lpstr>Multiple Sample Data Input</vt:lpstr>
      <vt:lpstr>Multiple Sample Statistics</vt:lpstr>
      <vt:lpstr>Calculations</vt:lpstr>
      <vt:lpstr>Gravel Sand Mud Diagram</vt:lpstr>
      <vt:lpstr>Sand Silt Clay Diagram</vt:lpstr>
      <vt:lpstr>Distribution (phi)</vt:lpstr>
      <vt:lpstr>Cumulative (phi)</vt:lpstr>
      <vt:lpstr>Distribution (microns)</vt:lpstr>
      <vt:lpstr>Cumulative (microns)</vt:lpstr>
      <vt:lpstr>Information!OLE_LINK1</vt:lpstr>
      <vt:lpstr>Calculations!Print_Area</vt:lpstr>
      <vt:lpstr>'Single Sample Statistics'!Print_Area</vt:lpstr>
    </vt:vector>
  </TitlesOfParts>
  <Manager>E-mail: s.blott@kpal.co.uk</Manager>
  <Company>Kenneth Pye Associates Ltd., Crowthorne Enterprise Centre, Old Wokingham Road, Crowthorne, RG45 6AW, UK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GRADISTAT v 8.0</dc:title>
  <dc:subject>Grain Size Analysis</dc:subject>
  <dc:creator>Simon Blott</dc:creator>
  <cp:keywords>Grain size, unconsolidated sediments, statistics</cp:keywords>
  <dc:description>A grain size distribution and statistics package for the analysis of unconsolidated sediments by sieving or laser granulometer.</dc:description>
  <cp:lastModifiedBy>Simon Blott</cp:lastModifiedBy>
  <cp:lastPrinted>2009-09-18T12:53:01Z</cp:lastPrinted>
  <dcterms:created xsi:type="dcterms:W3CDTF">1998-11-28T16:31:54Z</dcterms:created>
  <dcterms:modified xsi:type="dcterms:W3CDTF">2020-06-01T14:09:46Z</dcterms:modified>
  <cp:category>Research</cp:category>
</cp:coreProperties>
</file>